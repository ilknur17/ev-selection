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lknurcanbaz/Desktop/"/>
    </mc:Choice>
  </mc:AlternateContent>
  <xr:revisionPtr revIDLastSave="0" documentId="8_{D30D93EA-EDF3-804C-B7E3-AF5E98C33A10}" xr6:coauthVersionLast="47" xr6:coauthVersionMax="47" xr10:uidLastSave="{00000000-0000-0000-0000-000000000000}"/>
  <bookViews>
    <workbookView xWindow="940" yWindow="1260" windowWidth="27900" windowHeight="16640" xr2:uid="{326C44A6-7316-4C40-9BBB-B2241E1602CB}"/>
  </bookViews>
  <sheets>
    <sheet name="waspas" sheetId="2" r:id="rId1"/>
  </sheets>
  <definedNames>
    <definedName name="_xlnm._FilterDatabase" localSheetId="0" hidden="1">waspas!$B$3:$T$44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7" i="2" l="1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Q44" i="2"/>
  <c r="P44" i="2"/>
  <c r="O44" i="2"/>
  <c r="N44" i="2"/>
  <c r="M44" i="2"/>
  <c r="L44" i="2"/>
  <c r="Q43" i="2"/>
  <c r="P43" i="2"/>
  <c r="O43" i="2"/>
  <c r="N43" i="2"/>
  <c r="M43" i="2"/>
  <c r="L43" i="2"/>
  <c r="Q42" i="2"/>
  <c r="P42" i="2"/>
  <c r="O42" i="2"/>
  <c r="N42" i="2"/>
  <c r="M42" i="2"/>
  <c r="L42" i="2"/>
  <c r="Q41" i="2"/>
  <c r="P41" i="2"/>
  <c r="O41" i="2"/>
  <c r="N41" i="2"/>
  <c r="M41" i="2"/>
  <c r="L41" i="2"/>
  <c r="Q40" i="2"/>
  <c r="P40" i="2"/>
  <c r="O40" i="2"/>
  <c r="N40" i="2"/>
  <c r="M40" i="2"/>
  <c r="L40" i="2"/>
  <c r="Q39" i="2"/>
  <c r="P39" i="2"/>
  <c r="O39" i="2"/>
  <c r="N39" i="2"/>
  <c r="M39" i="2"/>
  <c r="L39" i="2"/>
  <c r="Q38" i="2"/>
  <c r="P38" i="2"/>
  <c r="O38" i="2"/>
  <c r="N38" i="2"/>
  <c r="M38" i="2"/>
  <c r="L38" i="2"/>
  <c r="Q37" i="2"/>
  <c r="P37" i="2"/>
  <c r="O37" i="2"/>
  <c r="N37" i="2"/>
  <c r="M37" i="2"/>
  <c r="L37" i="2"/>
  <c r="Q36" i="2"/>
  <c r="P36" i="2"/>
  <c r="O36" i="2"/>
  <c r="N36" i="2"/>
  <c r="M36" i="2"/>
  <c r="L36" i="2"/>
  <c r="Q35" i="2"/>
  <c r="P35" i="2"/>
  <c r="O35" i="2"/>
  <c r="N35" i="2"/>
  <c r="M35" i="2"/>
  <c r="L35" i="2"/>
  <c r="Q34" i="2"/>
  <c r="P34" i="2"/>
  <c r="O34" i="2"/>
  <c r="N34" i="2"/>
  <c r="M34" i="2"/>
  <c r="L34" i="2"/>
  <c r="Q33" i="2"/>
  <c r="P33" i="2"/>
  <c r="O33" i="2"/>
  <c r="N33" i="2"/>
  <c r="M33" i="2"/>
  <c r="L33" i="2"/>
  <c r="Q32" i="2"/>
  <c r="P32" i="2"/>
  <c r="O32" i="2"/>
  <c r="N32" i="2"/>
  <c r="M32" i="2"/>
  <c r="L32" i="2"/>
  <c r="Q31" i="2"/>
  <c r="P31" i="2"/>
  <c r="O31" i="2"/>
  <c r="N31" i="2"/>
  <c r="M31" i="2"/>
  <c r="L31" i="2"/>
  <c r="Q30" i="2"/>
  <c r="P30" i="2"/>
  <c r="O30" i="2"/>
  <c r="N30" i="2"/>
  <c r="M30" i="2"/>
  <c r="L30" i="2"/>
  <c r="Q29" i="2"/>
  <c r="P29" i="2"/>
  <c r="O29" i="2"/>
  <c r="N29" i="2"/>
  <c r="M29" i="2"/>
  <c r="L29" i="2"/>
  <c r="Q28" i="2"/>
  <c r="P28" i="2"/>
  <c r="O28" i="2"/>
  <c r="N28" i="2"/>
  <c r="M28" i="2"/>
  <c r="L28" i="2"/>
  <c r="Q27" i="2"/>
  <c r="P27" i="2"/>
  <c r="O27" i="2"/>
  <c r="N27" i="2"/>
  <c r="M27" i="2"/>
  <c r="L27" i="2"/>
  <c r="Q26" i="2"/>
  <c r="P26" i="2"/>
  <c r="O26" i="2"/>
  <c r="N26" i="2"/>
  <c r="M26" i="2"/>
  <c r="L26" i="2"/>
  <c r="Q25" i="2"/>
  <c r="P25" i="2"/>
  <c r="O25" i="2"/>
  <c r="N25" i="2"/>
  <c r="M25" i="2"/>
  <c r="L25" i="2"/>
  <c r="Q24" i="2"/>
  <c r="P24" i="2"/>
  <c r="O24" i="2"/>
  <c r="N24" i="2"/>
  <c r="M24" i="2"/>
  <c r="L24" i="2"/>
  <c r="Q23" i="2"/>
  <c r="P23" i="2"/>
  <c r="O23" i="2"/>
  <c r="N23" i="2"/>
  <c r="M23" i="2"/>
  <c r="L23" i="2"/>
  <c r="Q22" i="2"/>
  <c r="P22" i="2"/>
  <c r="O22" i="2"/>
  <c r="N22" i="2"/>
  <c r="M22" i="2"/>
  <c r="L22" i="2"/>
  <c r="Q21" i="2"/>
  <c r="P21" i="2"/>
  <c r="O21" i="2"/>
  <c r="N21" i="2"/>
  <c r="M21" i="2"/>
  <c r="L21" i="2"/>
  <c r="Q20" i="2"/>
  <c r="P20" i="2"/>
  <c r="O20" i="2"/>
  <c r="N20" i="2"/>
  <c r="M20" i="2"/>
  <c r="L20" i="2"/>
  <c r="Q19" i="2"/>
  <c r="P19" i="2"/>
  <c r="O19" i="2"/>
  <c r="N19" i="2"/>
  <c r="M19" i="2"/>
  <c r="L19" i="2"/>
  <c r="Q18" i="2"/>
  <c r="P18" i="2"/>
  <c r="O18" i="2"/>
  <c r="N18" i="2"/>
  <c r="M18" i="2"/>
  <c r="L18" i="2"/>
  <c r="Q17" i="2"/>
  <c r="P17" i="2"/>
  <c r="O17" i="2"/>
  <c r="N17" i="2"/>
  <c r="M17" i="2"/>
  <c r="L17" i="2"/>
  <c r="Q16" i="2"/>
  <c r="P16" i="2"/>
  <c r="O16" i="2"/>
  <c r="N16" i="2"/>
  <c r="M16" i="2"/>
  <c r="L16" i="2"/>
  <c r="Q15" i="2"/>
  <c r="P15" i="2"/>
  <c r="O15" i="2"/>
  <c r="N15" i="2"/>
  <c r="M15" i="2"/>
  <c r="L15" i="2"/>
  <c r="Q14" i="2"/>
  <c r="P14" i="2"/>
  <c r="O14" i="2"/>
  <c r="N14" i="2"/>
  <c r="M14" i="2"/>
  <c r="L14" i="2"/>
  <c r="Q13" i="2"/>
  <c r="P13" i="2"/>
  <c r="O13" i="2"/>
  <c r="N13" i="2"/>
  <c r="M13" i="2"/>
  <c r="L13" i="2"/>
  <c r="Q12" i="2"/>
  <c r="P12" i="2"/>
  <c r="O12" i="2"/>
  <c r="N12" i="2"/>
  <c r="M12" i="2"/>
  <c r="L12" i="2"/>
  <c r="Q11" i="2"/>
  <c r="P11" i="2"/>
  <c r="O11" i="2"/>
  <c r="N11" i="2"/>
  <c r="M11" i="2"/>
  <c r="L11" i="2"/>
  <c r="Q10" i="2"/>
  <c r="P10" i="2"/>
  <c r="O10" i="2"/>
  <c r="N10" i="2"/>
  <c r="M10" i="2"/>
  <c r="L10" i="2"/>
  <c r="Q9" i="2"/>
  <c r="P9" i="2"/>
  <c r="O9" i="2"/>
  <c r="N9" i="2"/>
  <c r="M9" i="2"/>
  <c r="L9" i="2"/>
  <c r="Q8" i="2"/>
  <c r="P8" i="2"/>
  <c r="O8" i="2"/>
  <c r="N8" i="2"/>
  <c r="M8" i="2"/>
  <c r="L8" i="2"/>
  <c r="Q7" i="2"/>
  <c r="P7" i="2"/>
  <c r="O7" i="2"/>
  <c r="N7" i="2"/>
  <c r="M7" i="2"/>
  <c r="L7" i="2"/>
  <c r="Q6" i="2"/>
  <c r="P6" i="2"/>
  <c r="O6" i="2"/>
  <c r="N6" i="2"/>
  <c r="M6" i="2"/>
  <c r="L6" i="2"/>
  <c r="Q5" i="2"/>
  <c r="P5" i="2"/>
  <c r="O5" i="2"/>
  <c r="N5" i="2"/>
  <c r="M5" i="2"/>
  <c r="L5" i="2"/>
  <c r="Q4" i="2"/>
  <c r="P4" i="2"/>
  <c r="O4" i="2"/>
  <c r="N4" i="2"/>
  <c r="M4" i="2"/>
  <c r="L4" i="2"/>
  <c r="R38" i="2" s="1"/>
  <c r="R25" i="2" l="1"/>
  <c r="R9" i="2"/>
  <c r="S6" i="2"/>
  <c r="R7" i="2"/>
  <c r="S14" i="2"/>
  <c r="R15" i="2"/>
  <c r="S22" i="2"/>
  <c r="R23" i="2"/>
  <c r="S30" i="2"/>
  <c r="R31" i="2"/>
  <c r="S38" i="2"/>
  <c r="T38" i="2" s="1"/>
  <c r="R39" i="2"/>
  <c r="S7" i="2"/>
  <c r="R8" i="2"/>
  <c r="S15" i="2"/>
  <c r="R16" i="2"/>
  <c r="S23" i="2"/>
  <c r="R24" i="2"/>
  <c r="S31" i="2"/>
  <c r="R32" i="2"/>
  <c r="S39" i="2"/>
  <c r="R40" i="2"/>
  <c r="T40" i="2" s="1"/>
  <c r="R17" i="2"/>
  <c r="S24" i="2"/>
  <c r="S40" i="2"/>
  <c r="S9" i="2"/>
  <c r="S25" i="2"/>
  <c r="T25" i="2" s="1"/>
  <c r="S26" i="2"/>
  <c r="R27" i="2"/>
  <c r="T27" i="2" s="1"/>
  <c r="S11" i="2"/>
  <c r="R12" i="2"/>
  <c r="T12" i="2" s="1"/>
  <c r="S19" i="2"/>
  <c r="R20" i="2"/>
  <c r="S27" i="2"/>
  <c r="R28" i="2"/>
  <c r="S35" i="2"/>
  <c r="R36" i="2"/>
  <c r="T36" i="2" s="1"/>
  <c r="S43" i="2"/>
  <c r="R44" i="2"/>
  <c r="T44" i="2" s="1"/>
  <c r="S16" i="2"/>
  <c r="R10" i="2"/>
  <c r="R26" i="2"/>
  <c r="S33" i="2"/>
  <c r="S41" i="2"/>
  <c r="R42" i="2"/>
  <c r="T42" i="2" s="1"/>
  <c r="R11" i="2"/>
  <c r="T11" i="2" s="1"/>
  <c r="R19" i="2"/>
  <c r="R35" i="2"/>
  <c r="S42" i="2"/>
  <c r="R5" i="2"/>
  <c r="S12" i="2"/>
  <c r="R13" i="2"/>
  <c r="T13" i="2" s="1"/>
  <c r="S20" i="2"/>
  <c r="R21" i="2"/>
  <c r="T21" i="2" s="1"/>
  <c r="S28" i="2"/>
  <c r="R29" i="2"/>
  <c r="S36" i="2"/>
  <c r="R37" i="2"/>
  <c r="S44" i="2"/>
  <c r="S8" i="2"/>
  <c r="S32" i="2"/>
  <c r="R33" i="2"/>
  <c r="T33" i="2" s="1"/>
  <c r="R41" i="2"/>
  <c r="T41" i="2" s="1"/>
  <c r="S17" i="2"/>
  <c r="R18" i="2"/>
  <c r="R34" i="2"/>
  <c r="S10" i="2"/>
  <c r="S18" i="2"/>
  <c r="S34" i="2"/>
  <c r="R43" i="2"/>
  <c r="T43" i="2" s="1"/>
  <c r="S5" i="2"/>
  <c r="R6" i="2"/>
  <c r="S13" i="2"/>
  <c r="R14" i="2"/>
  <c r="S21" i="2"/>
  <c r="R22" i="2"/>
  <c r="S29" i="2"/>
  <c r="R30" i="2"/>
  <c r="T30" i="2" s="1"/>
  <c r="S37" i="2"/>
  <c r="T8" i="2" l="1"/>
  <c r="T17" i="2"/>
  <c r="T24" i="2"/>
  <c r="T19" i="2"/>
  <c r="T15" i="2"/>
  <c r="T32" i="2"/>
  <c r="T34" i="2"/>
  <c r="T26" i="2"/>
  <c r="T31" i="2"/>
  <c r="T9" i="2"/>
  <c r="T7" i="2"/>
  <c r="T28" i="2"/>
  <c r="T14" i="2"/>
  <c r="T37" i="2"/>
  <c r="T18" i="2"/>
  <c r="T10" i="2"/>
  <c r="T20" i="2"/>
  <c r="T22" i="2"/>
  <c r="T39" i="2"/>
  <c r="T5" i="2"/>
  <c r="T6" i="2"/>
  <c r="T29" i="2"/>
  <c r="T35" i="2"/>
  <c r="T16" i="2"/>
  <c r="T23" i="2"/>
</calcChain>
</file>

<file path=xl/sharedStrings.xml><?xml version="1.0" encoding="utf-8"?>
<sst xmlns="http://schemas.openxmlformats.org/spreadsheetml/2006/main" count="150" uniqueCount="87">
  <si>
    <t>Brand</t>
  </si>
  <si>
    <t>Model</t>
  </si>
  <si>
    <t>Body Type</t>
  </si>
  <si>
    <t>Range</t>
  </si>
  <si>
    <t>Safety</t>
  </si>
  <si>
    <t>Resale Value &amp; Depreciation</t>
  </si>
  <si>
    <t>Acceleration &amp; Speed (0-100)</t>
  </si>
  <si>
    <t>Torque &amp; Power Output (Nm)</t>
  </si>
  <si>
    <t>Charging Time (%10-%80)</t>
  </si>
  <si>
    <t>Normalized Range</t>
  </si>
  <si>
    <t>Normalized Safety</t>
  </si>
  <si>
    <t>Normalized Resale Value &amp; Depreciation</t>
  </si>
  <si>
    <t>Normalized  Acceleration &amp; Speed (0-100)</t>
  </si>
  <si>
    <t>Normalized Torque &amp; Power Output</t>
  </si>
  <si>
    <t>Normalized Charging Time (%10-%80)</t>
  </si>
  <si>
    <t>WSM</t>
  </si>
  <si>
    <t>WPM</t>
  </si>
  <si>
    <t>WASPAS Score</t>
  </si>
  <si>
    <t>Criteria Weights</t>
  </si>
  <si>
    <t>TOGG</t>
  </si>
  <si>
    <t>T10X</t>
  </si>
  <si>
    <t>SUV</t>
  </si>
  <si>
    <t>Tesla</t>
  </si>
  <si>
    <t>Model Y</t>
  </si>
  <si>
    <t>KG Mobility</t>
  </si>
  <si>
    <t>Torres</t>
  </si>
  <si>
    <t>BMW</t>
  </si>
  <si>
    <t>X1</t>
  </si>
  <si>
    <t>MINI</t>
  </si>
  <si>
    <t>Countryman</t>
  </si>
  <si>
    <t>Mercedes-Benz</t>
  </si>
  <si>
    <t>EQB</t>
  </si>
  <si>
    <t xml:space="preserve">BMW </t>
  </si>
  <si>
    <t>5 Series</t>
  </si>
  <si>
    <t>SD</t>
  </si>
  <si>
    <t>BYD</t>
  </si>
  <si>
    <t>ATTO 3</t>
  </si>
  <si>
    <t>MG</t>
  </si>
  <si>
    <t>MG4</t>
  </si>
  <si>
    <t>HB</t>
  </si>
  <si>
    <t>Hyundai</t>
  </si>
  <si>
    <t>IONIQ 6</t>
  </si>
  <si>
    <t>Volkswagen</t>
  </si>
  <si>
    <t>ID.4</t>
  </si>
  <si>
    <t>Renault</t>
  </si>
  <si>
    <t>Megane E-Tech</t>
  </si>
  <si>
    <t>Citroen</t>
  </si>
  <si>
    <t>e-C4</t>
  </si>
  <si>
    <t>IONIQ 5</t>
  </si>
  <si>
    <t>Peugeot</t>
  </si>
  <si>
    <t>Kona</t>
  </si>
  <si>
    <t>Volvo</t>
  </si>
  <si>
    <t>eX40</t>
  </si>
  <si>
    <t>Opel</t>
  </si>
  <si>
    <t>Corsa</t>
  </si>
  <si>
    <t>X2</t>
  </si>
  <si>
    <t>4 Series</t>
  </si>
  <si>
    <t>Mokka</t>
  </si>
  <si>
    <t>EQE</t>
  </si>
  <si>
    <t>Seal U</t>
  </si>
  <si>
    <t>XC40</t>
  </si>
  <si>
    <t>Jeep</t>
  </si>
  <si>
    <t>Avenger</t>
  </si>
  <si>
    <t>Kia</t>
  </si>
  <si>
    <t>Niro</t>
  </si>
  <si>
    <t>EV3</t>
  </si>
  <si>
    <t>EQS</t>
  </si>
  <si>
    <t>7 Series</t>
  </si>
  <si>
    <t>C4</t>
  </si>
  <si>
    <t>EQA</t>
  </si>
  <si>
    <t>Astra</t>
  </si>
  <si>
    <t>ZS</t>
  </si>
  <si>
    <t>Audi</t>
  </si>
  <si>
    <t>Q4 e-Tron</t>
  </si>
  <si>
    <t>SKYWell</t>
  </si>
  <si>
    <t>ET5</t>
  </si>
  <si>
    <t>EV6</t>
  </si>
  <si>
    <t>Dolphin</t>
  </si>
  <si>
    <t>Criterion</t>
  </si>
  <si>
    <t>User Input (1-5)</t>
  </si>
  <si>
    <t>Normalized Weight</t>
  </si>
  <si>
    <t>0.23</t>
  </si>
  <si>
    <t>0.14</t>
  </si>
  <si>
    <t>0.18</t>
  </si>
  <si>
    <t>Acceleration &amp; Speed</t>
  </si>
  <si>
    <t>Torque &amp; Power Output</t>
  </si>
  <si>
    <t>Charging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</si>
</sst>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"/>
  </numFmts>
  <fonts count="8" x14ac:knownFonts="1">
    <font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color theme="3"/>
      <name val="Times New Roman"/>
      <family val="1"/>
    </font>
    <font>
      <b/>
      <sz val="11"/>
      <color theme="3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8" tint="0.39997558519241921"/>
      </bottom>
      <diagonal/>
    </border>
    <border>
      <left/>
      <right/>
      <top style="medium">
        <color indexed="64"/>
      </top>
      <bottom style="thin">
        <color theme="8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medium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indexed="64"/>
      </left>
      <right/>
      <top/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 style="medium">
        <color indexed="64"/>
      </right>
      <top/>
      <bottom style="thin">
        <color theme="8" tint="0.39997558519241921"/>
      </bottom>
      <diagonal/>
    </border>
    <border>
      <left style="medium">
        <color indexed="64"/>
      </left>
      <right/>
      <top style="thin">
        <color theme="8" tint="0.39997558519241921"/>
      </top>
      <bottom style="medium">
        <color indexed="64"/>
      </bottom>
      <diagonal/>
    </border>
    <border>
      <left/>
      <right/>
      <top style="thin">
        <color theme="8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8" tint="0.3999755851924192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1" fillId="0" borderId="0" xfId="1"/>
    <xf numFmtId="0" fontId="3" fillId="2" borderId="1" xfId="1" applyFont="1" applyFill="1" applyBorder="1"/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2" fontId="6" fillId="3" borderId="0" xfId="1" applyNumberFormat="1" applyFont="1" applyFill="1" applyAlignment="1">
      <alignment horizontal="center" vertic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6" fillId="4" borderId="11" xfId="1" applyFont="1" applyFill="1" applyBorder="1"/>
    <xf numFmtId="0" fontId="2" fillId="4" borderId="12" xfId="1" applyFont="1" applyFill="1" applyBorder="1" applyAlignment="1">
      <alignment horizontal="center" vertical="center"/>
    </xf>
    <xf numFmtId="9" fontId="2" fillId="4" borderId="12" xfId="2" applyFont="1" applyFill="1" applyBorder="1" applyAlignment="1">
      <alignment horizontal="center" vertical="center"/>
    </xf>
    <xf numFmtId="0" fontId="2" fillId="4" borderId="13" xfId="1" applyFont="1" applyFill="1" applyBorder="1" applyAlignment="1">
      <alignment horizontal="center" vertical="center"/>
    </xf>
    <xf numFmtId="2" fontId="2" fillId="4" borderId="14" xfId="1" applyNumberFormat="1" applyFont="1" applyFill="1" applyBorder="1" applyAlignment="1">
      <alignment horizontal="center" vertical="center"/>
    </xf>
    <xf numFmtId="2" fontId="2" fillId="4" borderId="15" xfId="1" applyNumberFormat="1" applyFont="1" applyFill="1" applyBorder="1" applyAlignment="1">
      <alignment horizontal="center" vertical="center"/>
    </xf>
    <xf numFmtId="164" fontId="2" fillId="4" borderId="15" xfId="1" applyNumberFormat="1" applyFont="1" applyFill="1" applyBorder="1" applyAlignment="1">
      <alignment horizontal="center" vertical="center"/>
    </xf>
    <xf numFmtId="165" fontId="6" fillId="4" borderId="16" xfId="1" applyNumberFormat="1" applyFont="1" applyFill="1" applyBorder="1" applyAlignment="1">
      <alignment horizontal="center" vertical="center"/>
    </xf>
    <xf numFmtId="0" fontId="6" fillId="0" borderId="11" xfId="1" applyFont="1" applyBorder="1"/>
    <xf numFmtId="0" fontId="2" fillId="0" borderId="12" xfId="1" applyFont="1" applyBorder="1" applyAlignment="1">
      <alignment horizontal="center" vertical="center"/>
    </xf>
    <xf numFmtId="9" fontId="2" fillId="0" borderId="12" xfId="2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2" fontId="2" fillId="0" borderId="11" xfId="1" applyNumberFormat="1" applyFont="1" applyBorder="1" applyAlignment="1">
      <alignment horizontal="center" vertical="center"/>
    </xf>
    <xf numFmtId="2" fontId="2" fillId="0" borderId="12" xfId="1" applyNumberFormat="1" applyFont="1" applyBorder="1" applyAlignment="1">
      <alignment horizontal="center" vertical="center"/>
    </xf>
    <xf numFmtId="164" fontId="2" fillId="0" borderId="12" xfId="1" applyNumberFormat="1" applyFont="1" applyBorder="1" applyAlignment="1">
      <alignment horizontal="center" vertical="center"/>
    </xf>
    <xf numFmtId="165" fontId="6" fillId="0" borderId="13" xfId="1" applyNumberFormat="1" applyFont="1" applyBorder="1" applyAlignment="1">
      <alignment horizontal="center" vertical="center"/>
    </xf>
    <xf numFmtId="2" fontId="2" fillId="4" borderId="11" xfId="1" applyNumberFormat="1" applyFont="1" applyFill="1" applyBorder="1" applyAlignment="1">
      <alignment horizontal="center" vertical="center"/>
    </xf>
    <xf numFmtId="2" fontId="2" fillId="4" borderId="12" xfId="1" applyNumberFormat="1" applyFont="1" applyFill="1" applyBorder="1" applyAlignment="1">
      <alignment horizontal="center" vertical="center"/>
    </xf>
    <xf numFmtId="164" fontId="2" fillId="4" borderId="12" xfId="1" applyNumberFormat="1" applyFont="1" applyFill="1" applyBorder="1" applyAlignment="1">
      <alignment horizontal="center" vertical="center"/>
    </xf>
    <xf numFmtId="165" fontId="6" fillId="4" borderId="13" xfId="1" applyNumberFormat="1" applyFont="1" applyFill="1" applyBorder="1" applyAlignment="1">
      <alignment horizontal="center" vertical="center"/>
    </xf>
    <xf numFmtId="0" fontId="6" fillId="0" borderId="17" xfId="1" applyFont="1" applyBorder="1"/>
    <xf numFmtId="0" fontId="2" fillId="0" borderId="18" xfId="1" applyFont="1" applyBorder="1" applyAlignment="1">
      <alignment horizontal="center" vertical="center"/>
    </xf>
    <xf numFmtId="9" fontId="2" fillId="0" borderId="18" xfId="2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2" fontId="2" fillId="0" borderId="17" xfId="1" applyNumberFormat="1" applyFont="1" applyBorder="1" applyAlignment="1">
      <alignment horizontal="center" vertical="center"/>
    </xf>
    <xf numFmtId="2" fontId="2" fillId="0" borderId="18" xfId="1" applyNumberFormat="1" applyFont="1" applyBorder="1" applyAlignment="1">
      <alignment horizontal="center" vertical="center"/>
    </xf>
    <xf numFmtId="164" fontId="2" fillId="0" borderId="18" xfId="1" applyNumberFormat="1" applyFont="1" applyBorder="1" applyAlignment="1">
      <alignment horizontal="center" vertical="center"/>
    </xf>
    <xf numFmtId="165" fontId="6" fillId="0" borderId="19" xfId="1" applyNumberFormat="1" applyFont="1" applyBorder="1" applyAlignment="1">
      <alignment horizontal="center" vertical="center"/>
    </xf>
    <xf numFmtId="9" fontId="1" fillId="0" borderId="0" xfId="1" applyNumberFormat="1"/>
    <xf numFmtId="0" fontId="7" fillId="0" borderId="0" xfId="1" applyFont="1"/>
  </cellXfs>
  <cellStyles count="3">
    <cellStyle name="Normal" xfId="0" builtinId="0"/>
    <cellStyle name="Normal 2" xfId="1" xr:uid="{A2262BC4-6258-2844-B748-C781D4A4B332}"/>
    <cellStyle name="Yüzde 2" xfId="2" xr:uid="{1F761B26-5785-EC4D-BE74-CB251B0DF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17EE-02E9-6343-84A6-87E847BC6494}">
  <dimension ref="B2:T87"/>
  <sheetViews>
    <sheetView tabSelected="1" zoomScale="85" workbookViewId="0">
      <selection activeCell="I14" sqref="I14"/>
    </sheetView>
  </sheetViews>
  <sheetFormatPr baseColWidth="10" defaultRowHeight="15" x14ac:dyDescent="0.2"/>
  <cols>
    <col min="1" max="1" width="10.83203125" style="3"/>
    <col min="2" max="2" width="3.33203125" style="3" bestFit="1" customWidth="1"/>
    <col min="3" max="3" width="12.5" style="3" bestFit="1" customWidth="1"/>
    <col min="4" max="4" width="13.5" style="3" bestFit="1" customWidth="1"/>
    <col min="5" max="5" width="10.83203125" style="3"/>
    <col min="6" max="7" width="10.83203125" style="3" customWidth="1"/>
    <col min="8" max="8" width="19" style="3" customWidth="1"/>
    <col min="9" max="9" width="12.6640625" style="3" customWidth="1"/>
    <col min="10" max="10" width="11.6640625" style="3" customWidth="1"/>
    <col min="11" max="11" width="12" style="3" customWidth="1"/>
    <col min="12" max="13" width="10.83203125" style="3"/>
    <col min="14" max="14" width="13" style="3" customWidth="1"/>
    <col min="15" max="15" width="14.33203125" style="3" customWidth="1"/>
    <col min="16" max="16" width="14.6640625" style="3" customWidth="1"/>
    <col min="17" max="17" width="12.5" style="3" customWidth="1"/>
    <col min="18" max="18" width="11" style="3" bestFit="1" customWidth="1"/>
    <col min="19" max="19" width="12.6640625" style="3" bestFit="1" customWidth="1"/>
    <col min="20" max="20" width="11" style="3" bestFit="1" customWidth="1"/>
    <col min="21" max="16384" width="10.83203125" style="3"/>
  </cols>
  <sheetData>
    <row r="2" spans="2:20" ht="16" thickBo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</row>
    <row r="3" spans="2:20" ht="61" thickBot="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6" t="s">
        <v>8</v>
      </c>
      <c r="L3" s="7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8" t="s">
        <v>15</v>
      </c>
      <c r="S3" s="9" t="s">
        <v>16</v>
      </c>
      <c r="T3" s="10" t="s">
        <v>17</v>
      </c>
    </row>
    <row r="4" spans="2:20" ht="16" hidden="1" x14ac:dyDescent="0.2">
      <c r="B4" s="11" t="s">
        <v>18</v>
      </c>
      <c r="C4" s="12"/>
      <c r="D4" s="13"/>
      <c r="E4" s="13"/>
      <c r="F4" s="13">
        <v>5</v>
      </c>
      <c r="G4" s="13">
        <v>3</v>
      </c>
      <c r="H4" s="13">
        <v>4</v>
      </c>
      <c r="I4" s="13">
        <v>3</v>
      </c>
      <c r="J4" s="13">
        <v>4</v>
      </c>
      <c r="K4" s="13">
        <v>3</v>
      </c>
      <c r="L4" s="14">
        <f>F4/SUM($F$4:$K$4)</f>
        <v>0.22727272727272727</v>
      </c>
      <c r="M4" s="14">
        <f t="shared" ref="M4:P4" si="0">G4/SUM($F$4:$K$4)</f>
        <v>0.13636363636363635</v>
      </c>
      <c r="N4" s="14">
        <f t="shared" si="0"/>
        <v>0.18181818181818182</v>
      </c>
      <c r="O4" s="14">
        <f t="shared" si="0"/>
        <v>0.13636363636363635</v>
      </c>
      <c r="P4" s="14">
        <f t="shared" si="0"/>
        <v>0.18181818181818182</v>
      </c>
      <c r="Q4" s="14">
        <f>K4/SUM($F$4:$K$4)</f>
        <v>0.13636363636363635</v>
      </c>
      <c r="R4" s="15"/>
      <c r="S4" s="2"/>
      <c r="T4" s="16"/>
    </row>
    <row r="5" spans="2:20" x14ac:dyDescent="0.2">
      <c r="B5" s="17">
        <v>1</v>
      </c>
      <c r="C5" s="18" t="s">
        <v>19</v>
      </c>
      <c r="D5" s="18" t="s">
        <v>20</v>
      </c>
      <c r="E5" s="18" t="s">
        <v>21</v>
      </c>
      <c r="F5" s="18">
        <v>510</v>
      </c>
      <c r="G5" s="18">
        <v>85</v>
      </c>
      <c r="H5" s="19">
        <v>0.94480874316939889</v>
      </c>
      <c r="I5" s="18">
        <v>7.4</v>
      </c>
      <c r="J5" s="18">
        <v>350</v>
      </c>
      <c r="K5" s="20">
        <v>30</v>
      </c>
      <c r="L5" s="21">
        <f>F5/MAX(F$5:F$44)</f>
        <v>0.66753926701570676</v>
      </c>
      <c r="M5" s="22">
        <f>G5/MAX(G$5:G$44)</f>
        <v>0.93406593406593408</v>
      </c>
      <c r="N5" s="22">
        <f>H5/MAX(H$5:H$44)</f>
        <v>0.95507840342124017</v>
      </c>
      <c r="O5" s="22">
        <f>MIN(I$5:I$44)/I5</f>
        <v>0.63513513513513509</v>
      </c>
      <c r="P5" s="22">
        <f>J5/MAX(J$5:J$44)</f>
        <v>0.40935672514619881</v>
      </c>
      <c r="Q5" s="22">
        <f>MIN(K$5:K$44)/K5</f>
        <v>0.6</v>
      </c>
      <c r="R5" s="21">
        <f>$L$4*L5+$M$4*M5+$N$4*N5+$O$4*O5+$P$4*P5+$Q$4*Q5</f>
        <v>0.69559272986143161</v>
      </c>
      <c r="S5" s="23">
        <f>($L$4*L5)*($M$4*M5)*($N$4*N5)*($O$4*O5)*($P$4*P5)*($Q$4*Q5)</f>
        <v>1.7698251409050987E-6</v>
      </c>
      <c r="T5" s="24">
        <f>0.5*R5+0.5*S5</f>
        <v>0.34779724984328625</v>
      </c>
    </row>
    <row r="6" spans="2:20" x14ac:dyDescent="0.2">
      <c r="B6" s="25">
        <v>2</v>
      </c>
      <c r="C6" s="26" t="s">
        <v>22</v>
      </c>
      <c r="D6" s="26" t="s">
        <v>23</v>
      </c>
      <c r="E6" s="26" t="s">
        <v>21</v>
      </c>
      <c r="F6" s="26">
        <v>455</v>
      </c>
      <c r="G6" s="26">
        <v>91</v>
      </c>
      <c r="H6" s="27">
        <v>0.77</v>
      </c>
      <c r="I6" s="26">
        <v>7.5</v>
      </c>
      <c r="J6" s="26">
        <v>660</v>
      </c>
      <c r="K6" s="28">
        <v>27</v>
      </c>
      <c r="L6" s="29">
        <f t="shared" ref="L6:N44" si="1">F6/MAX(F$5:F$44)</f>
        <v>0.59554973821989532</v>
      </c>
      <c r="M6" s="30">
        <f t="shared" si="1"/>
        <v>1</v>
      </c>
      <c r="N6" s="30">
        <f t="shared" si="1"/>
        <v>0.77836956521739131</v>
      </c>
      <c r="O6" s="30">
        <f t="shared" ref="O6:O44" si="2">MIN(I$5:I$44)/I6</f>
        <v>0.62666666666666671</v>
      </c>
      <c r="P6" s="30">
        <f t="shared" ref="P6:P44" si="3">J6/MAX(J$5:J$44)</f>
        <v>0.77192982456140347</v>
      </c>
      <c r="Q6" s="30">
        <f t="shared" ref="Q6:Q44" si="4">MIN(K$5:K$44)/K6</f>
        <v>0.66666666666666663</v>
      </c>
      <c r="R6" s="29">
        <f t="shared" ref="R6:R44" si="5">$L$4*L6+$M$4*M6+$N$4*N6+$O$4*O6+$P$4*P6+$Q$4*Q6</f>
        <v>0.72995210228248431</v>
      </c>
      <c r="S6" s="31">
        <f t="shared" ref="S6:S44" si="6">($L$4*L6)*($M$4*M6)*($N$4*N6)*($O$4*O6)*($P$4*P6)*($Q$4*Q6)</f>
        <v>2.8480309660348706E-6</v>
      </c>
      <c r="T6" s="32">
        <f t="shared" ref="T6:T44" si="7">0.5*R6+0.5*S6</f>
        <v>0.36497747515672518</v>
      </c>
    </row>
    <row r="7" spans="2:20" x14ac:dyDescent="0.2">
      <c r="B7" s="17">
        <v>3</v>
      </c>
      <c r="C7" s="18" t="s">
        <v>24</v>
      </c>
      <c r="D7" s="18" t="s">
        <v>25</v>
      </c>
      <c r="E7" s="18" t="s">
        <v>21</v>
      </c>
      <c r="F7" s="18">
        <v>462</v>
      </c>
      <c r="G7" s="18">
        <v>76.25</v>
      </c>
      <c r="H7" s="19">
        <v>0.94764397905759157</v>
      </c>
      <c r="I7" s="18">
        <v>8.1</v>
      </c>
      <c r="J7" s="18">
        <v>280</v>
      </c>
      <c r="K7" s="20">
        <v>28</v>
      </c>
      <c r="L7" s="33">
        <f t="shared" si="1"/>
        <v>0.60471204188481675</v>
      </c>
      <c r="M7" s="34">
        <f t="shared" si="1"/>
        <v>0.83791208791208793</v>
      </c>
      <c r="N7" s="34">
        <f t="shared" si="1"/>
        <v>0.95794445709082621</v>
      </c>
      <c r="O7" s="34">
        <f t="shared" si="2"/>
        <v>0.58024691358024694</v>
      </c>
      <c r="P7" s="34">
        <f t="shared" si="3"/>
        <v>0.32748538011695905</v>
      </c>
      <c r="Q7" s="34">
        <f t="shared" si="4"/>
        <v>0.6428571428571429</v>
      </c>
      <c r="R7" s="33">
        <f t="shared" si="5"/>
        <v>0.65219672687743901</v>
      </c>
      <c r="S7" s="35">
        <f t="shared" si="6"/>
        <v>1.1295989945842881E-6</v>
      </c>
      <c r="T7" s="36">
        <f t="shared" si="7"/>
        <v>0.32609892823821679</v>
      </c>
    </row>
    <row r="8" spans="2:20" x14ac:dyDescent="0.2">
      <c r="B8" s="25">
        <v>4</v>
      </c>
      <c r="C8" s="26" t="s">
        <v>26</v>
      </c>
      <c r="D8" s="26" t="s">
        <v>27</v>
      </c>
      <c r="E8" s="26" t="s">
        <v>21</v>
      </c>
      <c r="F8" s="26">
        <v>452</v>
      </c>
      <c r="G8" s="26">
        <v>85.75</v>
      </c>
      <c r="H8" s="27">
        <v>0.77140013271400132</v>
      </c>
      <c r="I8" s="26">
        <v>8.6</v>
      </c>
      <c r="J8" s="26">
        <v>400</v>
      </c>
      <c r="K8" s="28">
        <v>29</v>
      </c>
      <c r="L8" s="29">
        <f t="shared" si="1"/>
        <v>0.59162303664921467</v>
      </c>
      <c r="M8" s="30">
        <f t="shared" si="1"/>
        <v>0.94230769230769229</v>
      </c>
      <c r="N8" s="30">
        <f t="shared" si="1"/>
        <v>0.77978491676524042</v>
      </c>
      <c r="O8" s="30">
        <f t="shared" si="2"/>
        <v>0.54651162790697683</v>
      </c>
      <c r="P8" s="30">
        <f t="shared" si="3"/>
        <v>0.46783625730994149</v>
      </c>
      <c r="Q8" s="30">
        <f t="shared" si="4"/>
        <v>0.62068965517241381</v>
      </c>
      <c r="R8" s="29">
        <f t="shared" si="5"/>
        <v>0.64896030935036586</v>
      </c>
      <c r="S8" s="31">
        <f t="shared" si="6"/>
        <v>1.3143108701712462E-6</v>
      </c>
      <c r="T8" s="32">
        <f t="shared" si="7"/>
        <v>0.324480811830618</v>
      </c>
    </row>
    <row r="9" spans="2:20" x14ac:dyDescent="0.2">
      <c r="B9" s="17">
        <v>5</v>
      </c>
      <c r="C9" s="18" t="s">
        <v>28</v>
      </c>
      <c r="D9" s="18" t="s">
        <v>29</v>
      </c>
      <c r="E9" s="18" t="s">
        <v>21</v>
      </c>
      <c r="F9" s="18">
        <v>462</v>
      </c>
      <c r="G9" s="18">
        <v>82.5</v>
      </c>
      <c r="H9" s="19">
        <v>0.63329827790193238</v>
      </c>
      <c r="I9" s="18">
        <v>8.6</v>
      </c>
      <c r="J9" s="18">
        <v>385</v>
      </c>
      <c r="K9" s="20">
        <v>29</v>
      </c>
      <c r="L9" s="33">
        <f t="shared" si="1"/>
        <v>0.60471204188481675</v>
      </c>
      <c r="M9" s="34">
        <f t="shared" si="1"/>
        <v>0.90659340659340659</v>
      </c>
      <c r="N9" s="34">
        <f t="shared" si="1"/>
        <v>0.64018195483564899</v>
      </c>
      <c r="O9" s="34">
        <f t="shared" si="2"/>
        <v>0.54651162790697683</v>
      </c>
      <c r="P9" s="34">
        <f t="shared" si="3"/>
        <v>0.45029239766081869</v>
      </c>
      <c r="Q9" s="34">
        <f t="shared" si="4"/>
        <v>0.62068965517241381</v>
      </c>
      <c r="R9" s="33">
        <f t="shared" si="5"/>
        <v>0.61849280401947027</v>
      </c>
      <c r="S9" s="35">
        <f t="shared" si="6"/>
        <v>1.0212940374048967E-6</v>
      </c>
      <c r="T9" s="36">
        <f t="shared" si="7"/>
        <v>0.30924691265675386</v>
      </c>
    </row>
    <row r="10" spans="2:20" x14ac:dyDescent="0.2">
      <c r="B10" s="25">
        <v>6</v>
      </c>
      <c r="C10" s="26" t="s">
        <v>30</v>
      </c>
      <c r="D10" s="26" t="s">
        <v>31</v>
      </c>
      <c r="E10" s="26" t="s">
        <v>21</v>
      </c>
      <c r="F10" s="26">
        <v>490</v>
      </c>
      <c r="G10" s="26">
        <v>84.5</v>
      </c>
      <c r="H10" s="27">
        <v>0.86134805151363103</v>
      </c>
      <c r="I10" s="26">
        <v>8.9</v>
      </c>
      <c r="J10" s="26">
        <v>390</v>
      </c>
      <c r="K10" s="28">
        <v>35</v>
      </c>
      <c r="L10" s="29">
        <f t="shared" si="1"/>
        <v>0.6413612565445026</v>
      </c>
      <c r="M10" s="30">
        <f t="shared" si="1"/>
        <v>0.9285714285714286</v>
      </c>
      <c r="N10" s="30">
        <f t="shared" si="1"/>
        <v>0.87071053033443135</v>
      </c>
      <c r="O10" s="30">
        <f t="shared" si="2"/>
        <v>0.5280898876404494</v>
      </c>
      <c r="P10" s="30">
        <f t="shared" si="3"/>
        <v>0.45614035087719296</v>
      </c>
      <c r="Q10" s="30">
        <f t="shared" si="4"/>
        <v>0.51428571428571423</v>
      </c>
      <c r="R10" s="29">
        <f t="shared" si="5"/>
        <v>0.65577504086644489</v>
      </c>
      <c r="S10" s="31">
        <f t="shared" si="6"/>
        <v>1.2238277752925464E-6</v>
      </c>
      <c r="T10" s="32">
        <f t="shared" si="7"/>
        <v>0.32788813234711012</v>
      </c>
    </row>
    <row r="11" spans="2:20" x14ac:dyDescent="0.2">
      <c r="B11" s="17">
        <v>7</v>
      </c>
      <c r="C11" s="18" t="s">
        <v>32</v>
      </c>
      <c r="D11" s="18" t="s">
        <v>33</v>
      </c>
      <c r="E11" s="18" t="s">
        <v>34</v>
      </c>
      <c r="F11" s="18">
        <v>530</v>
      </c>
      <c r="G11" s="18">
        <v>84.5</v>
      </c>
      <c r="H11" s="19">
        <v>0.71048771543821054</v>
      </c>
      <c r="I11" s="18">
        <v>7.9</v>
      </c>
      <c r="J11" s="18">
        <v>400</v>
      </c>
      <c r="K11" s="20">
        <v>30</v>
      </c>
      <c r="L11" s="33">
        <f t="shared" si="1"/>
        <v>0.69371727748691103</v>
      </c>
      <c r="M11" s="34">
        <f t="shared" si="1"/>
        <v>0.9285714285714286</v>
      </c>
      <c r="N11" s="34">
        <f t="shared" si="1"/>
        <v>0.7182104079973215</v>
      </c>
      <c r="O11" s="34">
        <f t="shared" si="2"/>
        <v>0.59493670886075944</v>
      </c>
      <c r="P11" s="34">
        <f t="shared" si="3"/>
        <v>0.46783625730994149</v>
      </c>
      <c r="Q11" s="34">
        <f t="shared" si="4"/>
        <v>0.6</v>
      </c>
      <c r="R11" s="33">
        <f t="shared" si="5"/>
        <v>0.66287715731637142</v>
      </c>
      <c r="S11" s="35">
        <f t="shared" si="6"/>
        <v>1.4719161889821043E-6</v>
      </c>
      <c r="T11" s="36">
        <f t="shared" si="7"/>
        <v>0.33143931461628018</v>
      </c>
    </row>
    <row r="12" spans="2:20" x14ac:dyDescent="0.2">
      <c r="B12" s="25">
        <v>8</v>
      </c>
      <c r="C12" s="26" t="s">
        <v>35</v>
      </c>
      <c r="D12" s="26" t="s">
        <v>36</v>
      </c>
      <c r="E12" s="26" t="s">
        <v>21</v>
      </c>
      <c r="F12" s="26">
        <v>420</v>
      </c>
      <c r="G12" s="26">
        <v>80.75</v>
      </c>
      <c r="H12" s="27">
        <v>0.7</v>
      </c>
      <c r="I12" s="26">
        <v>7.3</v>
      </c>
      <c r="J12" s="26">
        <v>310</v>
      </c>
      <c r="K12" s="28">
        <v>37</v>
      </c>
      <c r="L12" s="29">
        <f t="shared" si="1"/>
        <v>0.54973821989528793</v>
      </c>
      <c r="M12" s="30">
        <f t="shared" si="1"/>
        <v>0.88736263736263732</v>
      </c>
      <c r="N12" s="30">
        <f t="shared" si="1"/>
        <v>0.70760869565217388</v>
      </c>
      <c r="O12" s="30">
        <f t="shared" si="2"/>
        <v>0.64383561643835618</v>
      </c>
      <c r="P12" s="30">
        <f t="shared" si="3"/>
        <v>0.36257309941520466</v>
      </c>
      <c r="Q12" s="30">
        <f t="shared" si="4"/>
        <v>0.48648648648648651</v>
      </c>
      <c r="R12" s="29">
        <f t="shared" si="5"/>
        <v>0.59465784093674512</v>
      </c>
      <c r="S12" s="31">
        <f t="shared" si="6"/>
        <v>7.468085061194788E-7</v>
      </c>
      <c r="T12" s="32">
        <f t="shared" si="7"/>
        <v>0.29732929387262563</v>
      </c>
    </row>
    <row r="13" spans="2:20" x14ac:dyDescent="0.2">
      <c r="B13" s="17">
        <v>9</v>
      </c>
      <c r="C13" s="18" t="s">
        <v>37</v>
      </c>
      <c r="D13" s="18" t="s">
        <v>38</v>
      </c>
      <c r="E13" s="18" t="s">
        <v>39</v>
      </c>
      <c r="F13" s="18">
        <v>435</v>
      </c>
      <c r="G13" s="18">
        <v>79</v>
      </c>
      <c r="H13" s="19">
        <v>0.68890500362581586</v>
      </c>
      <c r="I13" s="18">
        <v>7.1</v>
      </c>
      <c r="J13" s="18">
        <v>350</v>
      </c>
      <c r="K13" s="20">
        <v>26</v>
      </c>
      <c r="L13" s="33">
        <f t="shared" si="1"/>
        <v>0.56937172774869105</v>
      </c>
      <c r="M13" s="34">
        <f t="shared" si="1"/>
        <v>0.86813186813186816</v>
      </c>
      <c r="N13" s="34">
        <f t="shared" si="1"/>
        <v>0.69639310149131384</v>
      </c>
      <c r="O13" s="34">
        <f t="shared" si="2"/>
        <v>0.6619718309859155</v>
      </c>
      <c r="P13" s="34">
        <f t="shared" si="3"/>
        <v>0.40935672514619881</v>
      </c>
      <c r="Q13" s="34">
        <f t="shared" si="4"/>
        <v>0.69230769230769229</v>
      </c>
      <c r="R13" s="33">
        <f t="shared" si="5"/>
        <v>0.6335041872531787</v>
      </c>
      <c r="S13" s="35">
        <f t="shared" si="6"/>
        <v>1.2302526802213856E-6</v>
      </c>
      <c r="T13" s="36">
        <f t="shared" si="7"/>
        <v>0.31675270875292943</v>
      </c>
    </row>
    <row r="14" spans="2:20" x14ac:dyDescent="0.2">
      <c r="B14" s="25">
        <v>10</v>
      </c>
      <c r="C14" s="26" t="s">
        <v>40</v>
      </c>
      <c r="D14" s="26" t="s">
        <v>41</v>
      </c>
      <c r="E14" s="26" t="s">
        <v>34</v>
      </c>
      <c r="F14" s="26">
        <v>429</v>
      </c>
      <c r="G14" s="26">
        <v>85</v>
      </c>
      <c r="H14" s="27">
        <v>0.90315844427042546</v>
      </c>
      <c r="I14" s="26">
        <v>8.8000000000000007</v>
      </c>
      <c r="J14" s="26">
        <v>605</v>
      </c>
      <c r="K14" s="28">
        <v>18</v>
      </c>
      <c r="L14" s="29">
        <f t="shared" si="1"/>
        <v>0.56151832460732987</v>
      </c>
      <c r="M14" s="30">
        <f t="shared" si="1"/>
        <v>0.93406593406593408</v>
      </c>
      <c r="N14" s="30">
        <f t="shared" si="1"/>
        <v>0.91297538388206056</v>
      </c>
      <c r="O14" s="30">
        <f t="shared" si="2"/>
        <v>0.53409090909090906</v>
      </c>
      <c r="P14" s="30">
        <f t="shared" si="3"/>
        <v>0.70760233918128657</v>
      </c>
      <c r="Q14" s="30">
        <f t="shared" si="4"/>
        <v>1</v>
      </c>
      <c r="R14" s="29">
        <f t="shared" si="5"/>
        <v>0.7588351383982076</v>
      </c>
      <c r="S14" s="31">
        <f t="shared" si="6"/>
        <v>3.447645843792591E-6</v>
      </c>
      <c r="T14" s="32">
        <f t="shared" si="7"/>
        <v>0.37941929302202571</v>
      </c>
    </row>
    <row r="15" spans="2:20" x14ac:dyDescent="0.2">
      <c r="B15" s="17">
        <v>11</v>
      </c>
      <c r="C15" s="18" t="s">
        <v>42</v>
      </c>
      <c r="D15" s="18" t="s">
        <v>43</v>
      </c>
      <c r="E15" s="18" t="s">
        <v>21</v>
      </c>
      <c r="F15" s="18">
        <v>354</v>
      </c>
      <c r="G15" s="18">
        <v>85.75</v>
      </c>
      <c r="H15" s="19">
        <v>0.83723348933957353</v>
      </c>
      <c r="I15" s="18">
        <v>9</v>
      </c>
      <c r="J15" s="18">
        <v>310</v>
      </c>
      <c r="K15" s="20">
        <v>25</v>
      </c>
      <c r="L15" s="33">
        <f t="shared" si="1"/>
        <v>0.46335078534031415</v>
      </c>
      <c r="M15" s="34">
        <f t="shared" si="1"/>
        <v>0.94230769230769229</v>
      </c>
      <c r="N15" s="34">
        <f t="shared" si="1"/>
        <v>0.84633385335413414</v>
      </c>
      <c r="O15" s="34">
        <f t="shared" si="2"/>
        <v>0.52222222222222225</v>
      </c>
      <c r="P15" s="34">
        <f t="shared" si="3"/>
        <v>0.36257309941520466</v>
      </c>
      <c r="Q15" s="34">
        <f t="shared" si="4"/>
        <v>0.72</v>
      </c>
      <c r="R15" s="33">
        <f t="shared" si="5"/>
        <v>0.62299870369857591</v>
      </c>
      <c r="S15" s="35">
        <f t="shared" si="6"/>
        <v>9.5972198389981402E-7</v>
      </c>
      <c r="T15" s="36">
        <f t="shared" si="7"/>
        <v>0.3114998317102799</v>
      </c>
    </row>
    <row r="16" spans="2:20" x14ac:dyDescent="0.2">
      <c r="B16" s="25">
        <v>12</v>
      </c>
      <c r="C16" s="26" t="s">
        <v>44</v>
      </c>
      <c r="D16" s="26" t="s">
        <v>45</v>
      </c>
      <c r="E16" s="26" t="s">
        <v>39</v>
      </c>
      <c r="F16" s="26">
        <v>450</v>
      </c>
      <c r="G16" s="26">
        <v>79.25</v>
      </c>
      <c r="H16" s="27">
        <v>0.90551181102362199</v>
      </c>
      <c r="I16" s="26">
        <v>7.4</v>
      </c>
      <c r="J16" s="26">
        <v>300</v>
      </c>
      <c r="K16" s="28">
        <v>30</v>
      </c>
      <c r="L16" s="29">
        <f t="shared" si="1"/>
        <v>0.58900523560209428</v>
      </c>
      <c r="M16" s="30">
        <f t="shared" si="1"/>
        <v>0.87087912087912089</v>
      </c>
      <c r="N16" s="30">
        <f t="shared" si="1"/>
        <v>0.91535433070866135</v>
      </c>
      <c r="O16" s="30">
        <f t="shared" si="2"/>
        <v>0.63513513513513509</v>
      </c>
      <c r="P16" s="30">
        <f t="shared" si="3"/>
        <v>0.35087719298245612</v>
      </c>
      <c r="Q16" s="30">
        <f t="shared" si="4"/>
        <v>0.6</v>
      </c>
      <c r="R16" s="29">
        <f t="shared" si="5"/>
        <v>0.65127250185535046</v>
      </c>
      <c r="S16" s="31">
        <f t="shared" si="6"/>
        <v>1.1960696466276E-6</v>
      </c>
      <c r="T16" s="32">
        <f t="shared" si="7"/>
        <v>0.32563684896249856</v>
      </c>
    </row>
    <row r="17" spans="2:20" x14ac:dyDescent="0.2">
      <c r="B17" s="17">
        <v>13</v>
      </c>
      <c r="C17" s="18" t="s">
        <v>46</v>
      </c>
      <c r="D17" s="18" t="s">
        <v>47</v>
      </c>
      <c r="E17" s="18" t="s">
        <v>34</v>
      </c>
      <c r="F17" s="18">
        <v>540</v>
      </c>
      <c r="G17" s="18">
        <v>70.75</v>
      </c>
      <c r="H17" s="19">
        <v>0.65</v>
      </c>
      <c r="I17" s="18">
        <v>7.3</v>
      </c>
      <c r="J17" s="18">
        <v>260</v>
      </c>
      <c r="K17" s="20">
        <v>28</v>
      </c>
      <c r="L17" s="33">
        <f t="shared" si="1"/>
        <v>0.70680628272251311</v>
      </c>
      <c r="M17" s="34">
        <f t="shared" si="1"/>
        <v>0.77747252747252749</v>
      </c>
      <c r="N17" s="34">
        <f t="shared" si="1"/>
        <v>0.65706521739130441</v>
      </c>
      <c r="O17" s="34">
        <f t="shared" si="2"/>
        <v>0.64383561643835618</v>
      </c>
      <c r="P17" s="34">
        <f t="shared" si="3"/>
        <v>0.30409356725146197</v>
      </c>
      <c r="Q17" s="34">
        <f t="shared" si="4"/>
        <v>0.6428571428571429</v>
      </c>
      <c r="R17" s="33">
        <f t="shared" si="5"/>
        <v>0.61687101874944139</v>
      </c>
      <c r="S17" s="35">
        <f t="shared" si="6"/>
        <v>8.6578150085535425E-7</v>
      </c>
      <c r="T17" s="36">
        <f t="shared" si="7"/>
        <v>0.30843594226547111</v>
      </c>
    </row>
    <row r="18" spans="2:20" x14ac:dyDescent="0.2">
      <c r="B18" s="25">
        <v>14</v>
      </c>
      <c r="C18" s="26" t="s">
        <v>40</v>
      </c>
      <c r="D18" s="26" t="s">
        <v>48</v>
      </c>
      <c r="E18" s="26" t="s">
        <v>21</v>
      </c>
      <c r="F18" s="26">
        <v>440</v>
      </c>
      <c r="G18" s="26">
        <v>81.25</v>
      </c>
      <c r="H18" s="27">
        <v>0.65511562969857517</v>
      </c>
      <c r="I18" s="26">
        <v>8.5</v>
      </c>
      <c r="J18" s="26">
        <v>605</v>
      </c>
      <c r="K18" s="28">
        <v>18</v>
      </c>
      <c r="L18" s="29">
        <f t="shared" si="1"/>
        <v>0.5759162303664922</v>
      </c>
      <c r="M18" s="30">
        <f t="shared" si="1"/>
        <v>0.8928571428571429</v>
      </c>
      <c r="N18" s="30">
        <f t="shared" si="1"/>
        <v>0.66223645176051615</v>
      </c>
      <c r="O18" s="30">
        <f t="shared" si="2"/>
        <v>0.55294117647058827</v>
      </c>
      <c r="P18" s="30">
        <f t="shared" si="3"/>
        <v>0.70760233918128657</v>
      </c>
      <c r="Q18" s="30">
        <f t="shared" si="4"/>
        <v>1</v>
      </c>
      <c r="R18" s="29">
        <f t="shared" si="5"/>
        <v>0.71346960334467557</v>
      </c>
      <c r="S18" s="31">
        <f t="shared" si="6"/>
        <v>2.5382841374432005E-6</v>
      </c>
      <c r="T18" s="32">
        <f t="shared" si="7"/>
        <v>0.3567360708144065</v>
      </c>
    </row>
    <row r="19" spans="2:20" x14ac:dyDescent="0.2">
      <c r="B19" s="17">
        <v>15</v>
      </c>
      <c r="C19" s="18" t="s">
        <v>49</v>
      </c>
      <c r="D19" s="18">
        <v>2008</v>
      </c>
      <c r="E19" s="18" t="s">
        <v>21</v>
      </c>
      <c r="F19" s="18">
        <v>406</v>
      </c>
      <c r="G19" s="18">
        <v>76.25</v>
      </c>
      <c r="H19" s="19">
        <v>0.78961314255431903</v>
      </c>
      <c r="I19" s="18">
        <v>9.1999999999999993</v>
      </c>
      <c r="J19" s="18">
        <v>230</v>
      </c>
      <c r="K19" s="20">
        <v>30</v>
      </c>
      <c r="L19" s="33">
        <f t="shared" si="1"/>
        <v>0.53141361256544506</v>
      </c>
      <c r="M19" s="34">
        <f t="shared" si="1"/>
        <v>0.83791208791208793</v>
      </c>
      <c r="N19" s="34">
        <f t="shared" si="1"/>
        <v>0.79819589410382252</v>
      </c>
      <c r="O19" s="34">
        <f t="shared" si="2"/>
        <v>0.51086956521739135</v>
      </c>
      <c r="P19" s="34">
        <f t="shared" si="3"/>
        <v>0.26900584795321636</v>
      </c>
      <c r="Q19" s="34">
        <f t="shared" si="4"/>
        <v>0.6</v>
      </c>
      <c r="R19" s="33">
        <f t="shared" si="5"/>
        <v>0.58055545411108267</v>
      </c>
      <c r="S19" s="35">
        <f t="shared" si="6"/>
        <v>5.583175616702148E-7</v>
      </c>
      <c r="T19" s="36">
        <f t="shared" si="7"/>
        <v>0.29027800621432215</v>
      </c>
    </row>
    <row r="20" spans="2:20" x14ac:dyDescent="0.2">
      <c r="B20" s="25">
        <v>16</v>
      </c>
      <c r="C20" s="26" t="s">
        <v>49</v>
      </c>
      <c r="D20" s="26">
        <v>3008</v>
      </c>
      <c r="E20" s="26" t="s">
        <v>21</v>
      </c>
      <c r="F20" s="26">
        <v>500</v>
      </c>
      <c r="G20" s="26">
        <v>73.75</v>
      </c>
      <c r="H20" s="27">
        <v>0.91884816753926701</v>
      </c>
      <c r="I20" s="26">
        <v>8.8000000000000007</v>
      </c>
      <c r="J20" s="26">
        <v>360</v>
      </c>
      <c r="K20" s="28">
        <v>30</v>
      </c>
      <c r="L20" s="29">
        <f t="shared" si="1"/>
        <v>0.65445026178010468</v>
      </c>
      <c r="M20" s="30">
        <f t="shared" si="1"/>
        <v>0.81043956043956045</v>
      </c>
      <c r="N20" s="30">
        <f t="shared" si="1"/>
        <v>0.92883564762121551</v>
      </c>
      <c r="O20" s="30">
        <f t="shared" si="2"/>
        <v>0.53409090909090906</v>
      </c>
      <c r="P20" s="30">
        <f t="shared" si="3"/>
        <v>0.42105263157894735</v>
      </c>
      <c r="Q20" s="30">
        <f t="shared" si="4"/>
        <v>0.6</v>
      </c>
      <c r="R20" s="29">
        <f t="shared" si="5"/>
        <v>0.65933617428602642</v>
      </c>
      <c r="S20" s="31">
        <f t="shared" si="6"/>
        <v>1.2663584169309902E-6</v>
      </c>
      <c r="T20" s="32">
        <f t="shared" si="7"/>
        <v>0.32966872032222166</v>
      </c>
    </row>
    <row r="21" spans="2:20" x14ac:dyDescent="0.2">
      <c r="B21" s="17">
        <v>17</v>
      </c>
      <c r="C21" s="18" t="s">
        <v>40</v>
      </c>
      <c r="D21" s="18" t="s">
        <v>50</v>
      </c>
      <c r="E21" s="18" t="s">
        <v>21</v>
      </c>
      <c r="F21" s="18">
        <v>377</v>
      </c>
      <c r="G21" s="18">
        <v>71.75</v>
      </c>
      <c r="H21" s="19">
        <v>0.80521472392638038</v>
      </c>
      <c r="I21" s="18">
        <v>8.8000000000000007</v>
      </c>
      <c r="J21" s="18">
        <v>395</v>
      </c>
      <c r="K21" s="20">
        <v>41</v>
      </c>
      <c r="L21" s="33">
        <f t="shared" si="1"/>
        <v>0.49345549738219896</v>
      </c>
      <c r="M21" s="34">
        <f t="shared" si="1"/>
        <v>0.78846153846153844</v>
      </c>
      <c r="N21" s="34">
        <f t="shared" si="1"/>
        <v>0.81396705788210189</v>
      </c>
      <c r="O21" s="34">
        <f t="shared" si="2"/>
        <v>0.53409090909090906</v>
      </c>
      <c r="P21" s="34">
        <f t="shared" si="3"/>
        <v>0.46198830409356723</v>
      </c>
      <c r="Q21" s="34">
        <f t="shared" si="4"/>
        <v>0.43902439024390244</v>
      </c>
      <c r="R21" s="33">
        <f t="shared" si="5"/>
        <v>0.58435588400921468</v>
      </c>
      <c r="S21" s="35">
        <f t="shared" si="6"/>
        <v>6.5356353764733048E-7</v>
      </c>
      <c r="T21" s="36">
        <f t="shared" si="7"/>
        <v>0.29217826878637615</v>
      </c>
    </row>
    <row r="22" spans="2:20" x14ac:dyDescent="0.2">
      <c r="B22" s="25">
        <v>18</v>
      </c>
      <c r="C22" s="26" t="s">
        <v>51</v>
      </c>
      <c r="D22" s="26" t="s">
        <v>52</v>
      </c>
      <c r="E22" s="26" t="s">
        <v>21</v>
      </c>
      <c r="F22" s="26">
        <v>566</v>
      </c>
      <c r="G22" s="26">
        <v>86.25</v>
      </c>
      <c r="H22" s="27">
        <v>0.86744606155629023</v>
      </c>
      <c r="I22" s="26">
        <v>7.3</v>
      </c>
      <c r="J22" s="26">
        <v>660</v>
      </c>
      <c r="K22" s="28">
        <v>28</v>
      </c>
      <c r="L22" s="29">
        <f t="shared" si="1"/>
        <v>0.74083769633507857</v>
      </c>
      <c r="M22" s="30">
        <f t="shared" si="1"/>
        <v>0.94780219780219777</v>
      </c>
      <c r="N22" s="30">
        <f t="shared" si="1"/>
        <v>0.87687482309494558</v>
      </c>
      <c r="O22" s="30">
        <f t="shared" si="2"/>
        <v>0.64383561643835618</v>
      </c>
      <c r="P22" s="30">
        <f t="shared" si="3"/>
        <v>0.77192982456140347</v>
      </c>
      <c r="Q22" s="30">
        <f t="shared" si="4"/>
        <v>0.6428571428571429</v>
      </c>
      <c r="R22" s="29">
        <f t="shared" si="5"/>
        <v>0.77285872470881267</v>
      </c>
      <c r="S22" s="31">
        <f t="shared" si="6"/>
        <v>3.7476872688476052E-6</v>
      </c>
      <c r="T22" s="32">
        <f t="shared" si="7"/>
        <v>0.38643123619804076</v>
      </c>
    </row>
    <row r="23" spans="2:20" x14ac:dyDescent="0.2">
      <c r="B23" s="17">
        <v>19</v>
      </c>
      <c r="C23" s="18" t="s">
        <v>53</v>
      </c>
      <c r="D23" s="18" t="s">
        <v>54</v>
      </c>
      <c r="E23" s="18" t="s">
        <v>39</v>
      </c>
      <c r="F23" s="18">
        <v>354</v>
      </c>
      <c r="G23" s="18">
        <v>76.25</v>
      </c>
      <c r="H23" s="19">
        <v>0.88632838466651898</v>
      </c>
      <c r="I23" s="18">
        <v>8.1999999999999993</v>
      </c>
      <c r="J23" s="18">
        <v>260</v>
      </c>
      <c r="K23" s="20">
        <v>25</v>
      </c>
      <c r="L23" s="33">
        <f t="shared" si="1"/>
        <v>0.46335078534031415</v>
      </c>
      <c r="M23" s="34">
        <f t="shared" si="1"/>
        <v>0.83791208791208793</v>
      </c>
      <c r="N23" s="34">
        <f t="shared" si="1"/>
        <v>0.89596238884767676</v>
      </c>
      <c r="O23" s="34">
        <f t="shared" si="2"/>
        <v>0.57317073170731714</v>
      </c>
      <c r="P23" s="34">
        <f t="shared" si="3"/>
        <v>0.30409356725146197</v>
      </c>
      <c r="Q23" s="34">
        <f t="shared" si="4"/>
        <v>0.72</v>
      </c>
      <c r="R23" s="33">
        <f t="shared" si="5"/>
        <v>0.61410119136165187</v>
      </c>
      <c r="S23" s="35">
        <f t="shared" si="6"/>
        <v>8.3164798500421506E-7</v>
      </c>
      <c r="T23" s="36">
        <f t="shared" si="7"/>
        <v>0.30705101150481845</v>
      </c>
    </row>
    <row r="24" spans="2:20" x14ac:dyDescent="0.2">
      <c r="B24" s="25">
        <v>20</v>
      </c>
      <c r="C24" s="26" t="s">
        <v>26</v>
      </c>
      <c r="D24" s="26" t="s">
        <v>55</v>
      </c>
      <c r="E24" s="26" t="s">
        <v>21</v>
      </c>
      <c r="F24" s="26">
        <v>458</v>
      </c>
      <c r="G24" s="26">
        <v>85.25</v>
      </c>
      <c r="H24" s="27">
        <v>0.78935200475592837</v>
      </c>
      <c r="I24" s="26">
        <v>8.6</v>
      </c>
      <c r="J24" s="26">
        <v>400</v>
      </c>
      <c r="K24" s="28">
        <v>29</v>
      </c>
      <c r="L24" s="29">
        <f t="shared" si="1"/>
        <v>0.59947643979057597</v>
      </c>
      <c r="M24" s="30">
        <f t="shared" si="1"/>
        <v>0.93681318681318682</v>
      </c>
      <c r="N24" s="30">
        <f t="shared" si="1"/>
        <v>0.79793191785110151</v>
      </c>
      <c r="O24" s="30">
        <f t="shared" si="2"/>
        <v>0.54651162790697683</v>
      </c>
      <c r="P24" s="30">
        <f t="shared" si="3"/>
        <v>0.46783625730994149</v>
      </c>
      <c r="Q24" s="30">
        <f t="shared" si="4"/>
        <v>0.62068965517241381</v>
      </c>
      <c r="R24" s="29">
        <f t="shared" si="5"/>
        <v>0.65329537769430834</v>
      </c>
      <c r="S24" s="31">
        <f t="shared" si="6"/>
        <v>1.354803809045887E-6</v>
      </c>
      <c r="T24" s="32">
        <f t="shared" si="7"/>
        <v>0.32664836624905869</v>
      </c>
    </row>
    <row r="25" spans="2:20" x14ac:dyDescent="0.2">
      <c r="B25" s="17">
        <v>21</v>
      </c>
      <c r="C25" s="18" t="s">
        <v>26</v>
      </c>
      <c r="D25" s="18" t="s">
        <v>56</v>
      </c>
      <c r="E25" s="18" t="s">
        <v>34</v>
      </c>
      <c r="F25" s="18">
        <v>545</v>
      </c>
      <c r="G25" s="18">
        <v>86.25</v>
      </c>
      <c r="H25" s="19">
        <v>0.75315558241707148</v>
      </c>
      <c r="I25" s="18">
        <v>7.5</v>
      </c>
      <c r="J25" s="18">
        <v>500</v>
      </c>
      <c r="K25" s="20">
        <v>30</v>
      </c>
      <c r="L25" s="33">
        <f t="shared" si="1"/>
        <v>0.71335078534031415</v>
      </c>
      <c r="M25" s="34">
        <f t="shared" si="1"/>
        <v>0.94780219780219777</v>
      </c>
      <c r="N25" s="34">
        <f t="shared" si="1"/>
        <v>0.76134205613899619</v>
      </c>
      <c r="O25" s="34">
        <f t="shared" si="2"/>
        <v>0.62666666666666671</v>
      </c>
      <c r="P25" s="34">
        <f t="shared" si="3"/>
        <v>0.58479532163742687</v>
      </c>
      <c r="Q25" s="34">
        <f t="shared" si="4"/>
        <v>0.6</v>
      </c>
      <c r="R25" s="33">
        <f t="shared" si="5"/>
        <v>0.70339591050972072</v>
      </c>
      <c r="S25" s="35">
        <f t="shared" si="6"/>
        <v>2.1563044369757379E-6</v>
      </c>
      <c r="T25" s="36">
        <f t="shared" si="7"/>
        <v>0.35169903340707886</v>
      </c>
    </row>
    <row r="26" spans="2:20" x14ac:dyDescent="0.2">
      <c r="B26" s="25">
        <v>22</v>
      </c>
      <c r="C26" s="26" t="s">
        <v>53</v>
      </c>
      <c r="D26" s="26" t="s">
        <v>57</v>
      </c>
      <c r="E26" s="26" t="s">
        <v>21</v>
      </c>
      <c r="F26" s="26">
        <v>425</v>
      </c>
      <c r="G26" s="26">
        <v>67.5</v>
      </c>
      <c r="H26" s="27">
        <v>0.8</v>
      </c>
      <c r="I26" s="26">
        <v>8.6</v>
      </c>
      <c r="J26" s="26">
        <v>260</v>
      </c>
      <c r="K26" s="28">
        <v>32</v>
      </c>
      <c r="L26" s="29">
        <f t="shared" si="1"/>
        <v>0.55628272251308897</v>
      </c>
      <c r="M26" s="30">
        <f t="shared" si="1"/>
        <v>0.74175824175824179</v>
      </c>
      <c r="N26" s="30">
        <f t="shared" si="1"/>
        <v>0.80869565217391304</v>
      </c>
      <c r="O26" s="30">
        <f t="shared" si="2"/>
        <v>0.54651162790697683</v>
      </c>
      <c r="P26" s="30">
        <f t="shared" si="3"/>
        <v>0.30409356725146197</v>
      </c>
      <c r="Q26" s="30">
        <f t="shared" si="4"/>
        <v>0.5625</v>
      </c>
      <c r="R26" s="29">
        <f t="shared" si="5"/>
        <v>0.58113091360284552</v>
      </c>
      <c r="S26" s="31">
        <f t="shared" si="6"/>
        <v>5.9427832843941922E-7</v>
      </c>
      <c r="T26" s="32">
        <f t="shared" si="7"/>
        <v>0.29056575394058698</v>
      </c>
    </row>
    <row r="27" spans="2:20" x14ac:dyDescent="0.2">
      <c r="B27" s="17">
        <v>23</v>
      </c>
      <c r="C27" s="18" t="s">
        <v>30</v>
      </c>
      <c r="D27" s="18" t="s">
        <v>58</v>
      </c>
      <c r="E27" s="18" t="s">
        <v>34</v>
      </c>
      <c r="F27" s="18">
        <v>622</v>
      </c>
      <c r="G27" s="18">
        <v>87.5</v>
      </c>
      <c r="H27" s="19">
        <v>0.9225661093323847</v>
      </c>
      <c r="I27" s="18">
        <v>8</v>
      </c>
      <c r="J27" s="18">
        <v>565</v>
      </c>
      <c r="K27" s="20">
        <v>32</v>
      </c>
      <c r="L27" s="33">
        <f t="shared" si="1"/>
        <v>0.81413612565445026</v>
      </c>
      <c r="M27" s="34">
        <f t="shared" si="1"/>
        <v>0.96153846153846156</v>
      </c>
      <c r="N27" s="34">
        <f t="shared" si="1"/>
        <v>0.93259400182512797</v>
      </c>
      <c r="O27" s="34">
        <f t="shared" si="2"/>
        <v>0.58750000000000002</v>
      </c>
      <c r="P27" s="34">
        <f t="shared" si="3"/>
        <v>0.66081871345029242</v>
      </c>
      <c r="Q27" s="34">
        <f t="shared" si="4"/>
        <v>0.5625</v>
      </c>
      <c r="R27" s="33">
        <f t="shared" si="5"/>
        <v>0.76267940336315077</v>
      </c>
      <c r="S27" s="35">
        <f t="shared" si="6"/>
        <v>3.0372930873523845E-6</v>
      </c>
      <c r="T27" s="36">
        <f t="shared" si="7"/>
        <v>0.38134122032811907</v>
      </c>
    </row>
    <row r="28" spans="2:20" x14ac:dyDescent="0.2">
      <c r="B28" s="25">
        <v>24</v>
      </c>
      <c r="C28" s="26" t="s">
        <v>35</v>
      </c>
      <c r="D28" s="26" t="s">
        <v>59</v>
      </c>
      <c r="E28" s="26" t="s">
        <v>21</v>
      </c>
      <c r="F28" s="26">
        <v>500</v>
      </c>
      <c r="G28" s="26">
        <v>84</v>
      </c>
      <c r="H28" s="27">
        <v>0.67999999999999994</v>
      </c>
      <c r="I28" s="26">
        <v>9.6</v>
      </c>
      <c r="J28" s="26">
        <v>360</v>
      </c>
      <c r="K28" s="28">
        <v>44</v>
      </c>
      <c r="L28" s="29">
        <f t="shared" si="1"/>
        <v>0.65445026178010468</v>
      </c>
      <c r="M28" s="30">
        <f t="shared" si="1"/>
        <v>0.92307692307692313</v>
      </c>
      <c r="N28" s="30">
        <f t="shared" si="1"/>
        <v>0.68739130434782603</v>
      </c>
      <c r="O28" s="30">
        <f t="shared" si="2"/>
        <v>0.48958333333333337</v>
      </c>
      <c r="P28" s="30">
        <f t="shared" si="3"/>
        <v>0.42105263157894735</v>
      </c>
      <c r="Q28" s="30">
        <f t="shared" si="4"/>
        <v>0.40909090909090912</v>
      </c>
      <c r="R28" s="29">
        <f t="shared" si="5"/>
        <v>0.59869457041414142</v>
      </c>
      <c r="S28" s="31">
        <f t="shared" si="6"/>
        <v>6.6714322372126859E-7</v>
      </c>
      <c r="T28" s="32">
        <f t="shared" si="7"/>
        <v>0.2993476187786826</v>
      </c>
    </row>
    <row r="29" spans="2:20" x14ac:dyDescent="0.2">
      <c r="B29" s="17">
        <v>25</v>
      </c>
      <c r="C29" s="18" t="s">
        <v>51</v>
      </c>
      <c r="D29" s="18" t="s">
        <v>60</v>
      </c>
      <c r="E29" s="18" t="s">
        <v>21</v>
      </c>
      <c r="F29" s="18">
        <v>578</v>
      </c>
      <c r="G29" s="18">
        <v>85</v>
      </c>
      <c r="H29" s="19">
        <v>0.80042547533572661</v>
      </c>
      <c r="I29" s="18">
        <v>4.7</v>
      </c>
      <c r="J29" s="18">
        <v>660</v>
      </c>
      <c r="K29" s="20">
        <v>28</v>
      </c>
      <c r="L29" s="33">
        <f t="shared" si="1"/>
        <v>0.75654450261780104</v>
      </c>
      <c r="M29" s="34">
        <f t="shared" si="1"/>
        <v>0.93406593406593408</v>
      </c>
      <c r="N29" s="34">
        <f t="shared" si="1"/>
        <v>0.8091257522415497</v>
      </c>
      <c r="O29" s="34">
        <f t="shared" si="2"/>
        <v>1</v>
      </c>
      <c r="P29" s="34">
        <f t="shared" si="3"/>
        <v>0.77192982456140347</v>
      </c>
      <c r="Q29" s="34">
        <f t="shared" si="4"/>
        <v>0.6428571428571429</v>
      </c>
      <c r="R29" s="33">
        <f t="shared" si="5"/>
        <v>0.81080518413954761</v>
      </c>
      <c r="S29" s="35">
        <f t="shared" si="6"/>
        <v>5.4055264632661176E-6</v>
      </c>
      <c r="T29" s="36">
        <f t="shared" si="7"/>
        <v>0.40540529483300541</v>
      </c>
    </row>
    <row r="30" spans="2:20" x14ac:dyDescent="0.2">
      <c r="B30" s="25">
        <v>26</v>
      </c>
      <c r="C30" s="26" t="s">
        <v>61</v>
      </c>
      <c r="D30" s="26" t="s">
        <v>62</v>
      </c>
      <c r="E30" s="26" t="s">
        <v>21</v>
      </c>
      <c r="F30" s="26">
        <v>400</v>
      </c>
      <c r="G30" s="26">
        <v>65.25</v>
      </c>
      <c r="H30" s="27">
        <v>0.85763293310463118</v>
      </c>
      <c r="I30" s="26">
        <v>9</v>
      </c>
      <c r="J30" s="26">
        <v>260</v>
      </c>
      <c r="K30" s="28">
        <v>24</v>
      </c>
      <c r="L30" s="29">
        <f t="shared" si="1"/>
        <v>0.52356020942408377</v>
      </c>
      <c r="M30" s="30">
        <f t="shared" si="1"/>
        <v>0.71703296703296704</v>
      </c>
      <c r="N30" s="30">
        <f t="shared" si="1"/>
        <v>0.86695503020359455</v>
      </c>
      <c r="O30" s="30">
        <f t="shared" si="2"/>
        <v>0.52222222222222225</v>
      </c>
      <c r="P30" s="30">
        <f t="shared" si="3"/>
        <v>0.30409356725146197</v>
      </c>
      <c r="Q30" s="30">
        <f t="shared" si="4"/>
        <v>0.75</v>
      </c>
      <c r="R30" s="29">
        <f t="shared" si="5"/>
        <v>0.60317095475937332</v>
      </c>
      <c r="S30" s="31">
        <f t="shared" si="6"/>
        <v>7.3848867320531051E-7</v>
      </c>
      <c r="T30" s="32">
        <f t="shared" si="7"/>
        <v>0.30158584662402327</v>
      </c>
    </row>
    <row r="31" spans="2:20" x14ac:dyDescent="0.2">
      <c r="B31" s="17">
        <v>27</v>
      </c>
      <c r="C31" s="18" t="s">
        <v>63</v>
      </c>
      <c r="D31" s="18" t="s">
        <v>64</v>
      </c>
      <c r="E31" s="18" t="s">
        <v>21</v>
      </c>
      <c r="F31" s="18">
        <v>460</v>
      </c>
      <c r="G31" s="18">
        <v>77.5</v>
      </c>
      <c r="H31" s="19">
        <v>0.88</v>
      </c>
      <c r="I31" s="18">
        <v>7.8</v>
      </c>
      <c r="J31" s="18">
        <v>395</v>
      </c>
      <c r="K31" s="20">
        <v>45</v>
      </c>
      <c r="L31" s="33">
        <f t="shared" si="1"/>
        <v>0.60209424083769636</v>
      </c>
      <c r="M31" s="34">
        <f t="shared" si="1"/>
        <v>0.85164835164835162</v>
      </c>
      <c r="N31" s="34">
        <f t="shared" si="1"/>
        <v>0.88956521739130434</v>
      </c>
      <c r="O31" s="34">
        <f t="shared" si="2"/>
        <v>0.60256410256410264</v>
      </c>
      <c r="P31" s="34">
        <f t="shared" si="3"/>
        <v>0.46198830409356723</v>
      </c>
      <c r="Q31" s="34">
        <f t="shared" si="4"/>
        <v>0.4</v>
      </c>
      <c r="R31" s="33">
        <f t="shared" si="5"/>
        <v>0.63542375694387865</v>
      </c>
      <c r="S31" s="35">
        <f t="shared" si="6"/>
        <v>9.6764146506703167E-7</v>
      </c>
      <c r="T31" s="36">
        <f t="shared" si="7"/>
        <v>0.31771236229267186</v>
      </c>
    </row>
    <row r="32" spans="2:20" x14ac:dyDescent="0.2">
      <c r="B32" s="25">
        <v>28</v>
      </c>
      <c r="C32" s="26" t="s">
        <v>63</v>
      </c>
      <c r="D32" s="26" t="s">
        <v>65</v>
      </c>
      <c r="E32" s="26" t="s">
        <v>21</v>
      </c>
      <c r="F32" s="26">
        <v>604</v>
      </c>
      <c r="G32" s="26">
        <v>77.5</v>
      </c>
      <c r="H32" s="27">
        <v>0.903954802259887</v>
      </c>
      <c r="I32" s="26">
        <v>7.7</v>
      </c>
      <c r="J32" s="26">
        <v>350</v>
      </c>
      <c r="K32" s="28">
        <v>31</v>
      </c>
      <c r="L32" s="29">
        <f t="shared" si="1"/>
        <v>0.79057591623036649</v>
      </c>
      <c r="M32" s="30">
        <f t="shared" si="1"/>
        <v>0.85164835164835162</v>
      </c>
      <c r="N32" s="30">
        <f t="shared" si="1"/>
        <v>0.91378039793662491</v>
      </c>
      <c r="O32" s="30">
        <f t="shared" si="2"/>
        <v>0.61038961038961037</v>
      </c>
      <c r="P32" s="30">
        <f t="shared" si="3"/>
        <v>0.40935672514619881</v>
      </c>
      <c r="Q32" s="30">
        <f t="shared" si="4"/>
        <v>0.58064516129032262</v>
      </c>
      <c r="R32" s="29">
        <f t="shared" si="5"/>
        <v>0.69879442924854462</v>
      </c>
      <c r="S32" s="31">
        <f t="shared" si="6"/>
        <v>1.7005259655009413E-6</v>
      </c>
      <c r="T32" s="32">
        <f t="shared" si="7"/>
        <v>0.34939806488725506</v>
      </c>
    </row>
    <row r="33" spans="2:20" x14ac:dyDescent="0.2">
      <c r="B33" s="17">
        <v>29</v>
      </c>
      <c r="C33" s="18" t="s">
        <v>49</v>
      </c>
      <c r="D33" s="18">
        <v>208</v>
      </c>
      <c r="E33" s="18" t="s">
        <v>39</v>
      </c>
      <c r="F33" s="18">
        <v>290</v>
      </c>
      <c r="G33" s="18">
        <v>76</v>
      </c>
      <c r="H33" s="19">
        <v>0.76530612244897955</v>
      </c>
      <c r="I33" s="18">
        <v>8.1</v>
      </c>
      <c r="J33" s="18">
        <v>260</v>
      </c>
      <c r="K33" s="20">
        <v>25</v>
      </c>
      <c r="L33" s="33">
        <f t="shared" si="1"/>
        <v>0.37958115183246072</v>
      </c>
      <c r="M33" s="34">
        <f t="shared" si="1"/>
        <v>0.8351648351648352</v>
      </c>
      <c r="N33" s="34">
        <f t="shared" si="1"/>
        <v>0.77362466725820755</v>
      </c>
      <c r="O33" s="34">
        <f t="shared" si="2"/>
        <v>0.58024691358024694</v>
      </c>
      <c r="P33" s="34">
        <f t="shared" si="3"/>
        <v>0.30409356725146197</v>
      </c>
      <c r="Q33" s="34">
        <f t="shared" si="4"/>
        <v>0.72</v>
      </c>
      <c r="R33" s="33">
        <f t="shared" si="5"/>
        <v>0.57340972470164675</v>
      </c>
      <c r="S33" s="35">
        <f t="shared" si="6"/>
        <v>5.9357743550804349E-7</v>
      </c>
      <c r="T33" s="36">
        <f t="shared" si="7"/>
        <v>0.28670515913954114</v>
      </c>
    </row>
    <row r="34" spans="2:20" x14ac:dyDescent="0.2">
      <c r="B34" s="25">
        <v>30</v>
      </c>
      <c r="C34" s="26" t="s">
        <v>30</v>
      </c>
      <c r="D34" s="26" t="s">
        <v>66</v>
      </c>
      <c r="E34" s="26" t="s">
        <v>34</v>
      </c>
      <c r="F34" s="26">
        <v>764</v>
      </c>
      <c r="G34" s="26">
        <v>85.75</v>
      </c>
      <c r="H34" s="27">
        <v>0.80143369175627244</v>
      </c>
      <c r="I34" s="26">
        <v>5.7</v>
      </c>
      <c r="J34" s="26">
        <v>855</v>
      </c>
      <c r="K34" s="28">
        <v>31</v>
      </c>
      <c r="L34" s="29">
        <f t="shared" si="1"/>
        <v>1</v>
      </c>
      <c r="M34" s="30">
        <f t="shared" si="1"/>
        <v>0.94230769230769229</v>
      </c>
      <c r="N34" s="30">
        <f t="shared" si="1"/>
        <v>0.81014492753623191</v>
      </c>
      <c r="O34" s="30">
        <f t="shared" si="2"/>
        <v>0.82456140350877194</v>
      </c>
      <c r="P34" s="30">
        <f t="shared" si="3"/>
        <v>1</v>
      </c>
      <c r="Q34" s="30">
        <f t="shared" si="4"/>
        <v>0.58064516129032262</v>
      </c>
      <c r="R34" s="29">
        <f t="shared" si="5"/>
        <v>0.87650556733933127</v>
      </c>
      <c r="S34" s="31">
        <f t="shared" si="6"/>
        <v>6.9631689586300434E-6</v>
      </c>
      <c r="T34" s="32">
        <f t="shared" si="7"/>
        <v>0.43825626525414496</v>
      </c>
    </row>
    <row r="35" spans="2:20" x14ac:dyDescent="0.2">
      <c r="B35" s="17">
        <v>31</v>
      </c>
      <c r="C35" s="18" t="s">
        <v>49</v>
      </c>
      <c r="D35" s="18">
        <v>308</v>
      </c>
      <c r="E35" s="18" t="s">
        <v>39</v>
      </c>
      <c r="F35" s="18">
        <v>410</v>
      </c>
      <c r="G35" s="18">
        <v>73.25</v>
      </c>
      <c r="H35" s="19">
        <v>0.75431034482758619</v>
      </c>
      <c r="I35" s="18">
        <v>10.5</v>
      </c>
      <c r="J35" s="18">
        <v>360</v>
      </c>
      <c r="K35" s="20">
        <v>30</v>
      </c>
      <c r="L35" s="33">
        <f t="shared" si="1"/>
        <v>0.53664921465968585</v>
      </c>
      <c r="M35" s="34">
        <f t="shared" si="1"/>
        <v>0.80494505494505497</v>
      </c>
      <c r="N35" s="34">
        <f t="shared" si="1"/>
        <v>0.76250937031484256</v>
      </c>
      <c r="O35" s="34">
        <f t="shared" si="2"/>
        <v>0.44761904761904764</v>
      </c>
      <c r="P35" s="34">
        <f t="shared" si="3"/>
        <v>0.42105263157894735</v>
      </c>
      <c r="Q35" s="34">
        <f t="shared" si="4"/>
        <v>0.6</v>
      </c>
      <c r="R35" s="33">
        <f t="shared" si="5"/>
        <v>0.58978119948026808</v>
      </c>
      <c r="S35" s="35">
        <f t="shared" si="6"/>
        <v>7.0960355301361597E-7</v>
      </c>
      <c r="T35" s="36">
        <f t="shared" si="7"/>
        <v>0.29489095454191055</v>
      </c>
    </row>
    <row r="36" spans="2:20" x14ac:dyDescent="0.2">
      <c r="B36" s="25">
        <v>32</v>
      </c>
      <c r="C36" s="26" t="s">
        <v>26</v>
      </c>
      <c r="D36" s="26" t="s">
        <v>67</v>
      </c>
      <c r="E36" s="26" t="s">
        <v>34</v>
      </c>
      <c r="F36" s="26">
        <v>608</v>
      </c>
      <c r="G36" s="26">
        <v>88.5</v>
      </c>
      <c r="H36" s="27">
        <v>0.78080701982692113</v>
      </c>
      <c r="I36" s="26">
        <v>4.7</v>
      </c>
      <c r="J36" s="26">
        <v>745</v>
      </c>
      <c r="K36" s="28">
        <v>28</v>
      </c>
      <c r="L36" s="29">
        <f t="shared" si="1"/>
        <v>0.79581151832460728</v>
      </c>
      <c r="M36" s="30">
        <f t="shared" si="1"/>
        <v>0.97252747252747251</v>
      </c>
      <c r="N36" s="30">
        <f t="shared" si="1"/>
        <v>0.78929405265112684</v>
      </c>
      <c r="O36" s="30">
        <f t="shared" si="2"/>
        <v>1</v>
      </c>
      <c r="P36" s="30">
        <f t="shared" si="3"/>
        <v>0.87134502923976609</v>
      </c>
      <c r="Q36" s="30">
        <f t="shared" si="4"/>
        <v>0.6428571428571429</v>
      </c>
      <c r="R36" s="29">
        <f t="shared" si="5"/>
        <v>0.83944398933365705</v>
      </c>
      <c r="S36" s="31">
        <f t="shared" si="6"/>
        <v>6.5188836156903995E-6</v>
      </c>
      <c r="T36" s="32">
        <f t="shared" si="7"/>
        <v>0.41972525410863637</v>
      </c>
    </row>
    <row r="37" spans="2:20" x14ac:dyDescent="0.2">
      <c r="B37" s="17">
        <v>33</v>
      </c>
      <c r="C37" s="18" t="s">
        <v>46</v>
      </c>
      <c r="D37" s="18" t="s">
        <v>68</v>
      </c>
      <c r="E37" s="18" t="s">
        <v>39</v>
      </c>
      <c r="F37" s="18">
        <v>411</v>
      </c>
      <c r="G37" s="18">
        <v>70.75</v>
      </c>
      <c r="H37" s="19">
        <v>0.65999999999999992</v>
      </c>
      <c r="I37" s="18">
        <v>7.2</v>
      </c>
      <c r="J37" s="18">
        <v>260</v>
      </c>
      <c r="K37" s="20">
        <v>30</v>
      </c>
      <c r="L37" s="33">
        <f t="shared" si="1"/>
        <v>0.5379581151832461</v>
      </c>
      <c r="M37" s="34">
        <f t="shared" si="1"/>
        <v>0.77747252747252749</v>
      </c>
      <c r="N37" s="34">
        <f t="shared" si="1"/>
        <v>0.66717391304347817</v>
      </c>
      <c r="O37" s="34">
        <f t="shared" si="2"/>
        <v>0.65277777777777779</v>
      </c>
      <c r="P37" s="34">
        <f t="shared" si="3"/>
        <v>0.30409356725146197</v>
      </c>
      <c r="Q37" s="34">
        <f t="shared" si="4"/>
        <v>0.6</v>
      </c>
      <c r="R37" s="33">
        <f t="shared" si="5"/>
        <v>0.5757096096748594</v>
      </c>
      <c r="S37" s="35">
        <f t="shared" si="6"/>
        <v>6.331608934797611E-7</v>
      </c>
      <c r="T37" s="36">
        <f t="shared" si="7"/>
        <v>0.28785512141787645</v>
      </c>
    </row>
    <row r="38" spans="2:20" x14ac:dyDescent="0.2">
      <c r="B38" s="25">
        <v>34</v>
      </c>
      <c r="C38" s="26" t="s">
        <v>30</v>
      </c>
      <c r="D38" s="26" t="s">
        <v>69</v>
      </c>
      <c r="E38" s="26" t="s">
        <v>21</v>
      </c>
      <c r="F38" s="26">
        <v>512</v>
      </c>
      <c r="G38" s="26">
        <v>85.75</v>
      </c>
      <c r="H38" s="27">
        <v>0.86113002042205578</v>
      </c>
      <c r="I38" s="26">
        <v>8.6</v>
      </c>
      <c r="J38" s="26">
        <v>390</v>
      </c>
      <c r="K38" s="28">
        <v>35</v>
      </c>
      <c r="L38" s="29">
        <f t="shared" si="1"/>
        <v>0.67015706806282727</v>
      </c>
      <c r="M38" s="30">
        <f t="shared" si="1"/>
        <v>0.94230769230769229</v>
      </c>
      <c r="N38" s="30">
        <f t="shared" si="1"/>
        <v>0.87049012933968684</v>
      </c>
      <c r="O38" s="30">
        <f t="shared" si="2"/>
        <v>0.54651162790697683</v>
      </c>
      <c r="P38" s="30">
        <f t="shared" si="3"/>
        <v>0.45614035087719296</v>
      </c>
      <c r="Q38" s="30">
        <f t="shared" si="4"/>
        <v>0.51428571428571423</v>
      </c>
      <c r="R38" s="29">
        <f t="shared" si="5"/>
        <v>0.66666465294012756</v>
      </c>
      <c r="S38" s="31">
        <f t="shared" si="6"/>
        <v>1.342620319752871E-6</v>
      </c>
      <c r="T38" s="32">
        <f t="shared" si="7"/>
        <v>0.33333299778022363</v>
      </c>
    </row>
    <row r="39" spans="2:20" x14ac:dyDescent="0.2">
      <c r="B39" s="17">
        <v>35</v>
      </c>
      <c r="C39" s="18" t="s">
        <v>53</v>
      </c>
      <c r="D39" s="18" t="s">
        <v>70</v>
      </c>
      <c r="E39" s="18" t="s">
        <v>39</v>
      </c>
      <c r="F39" s="18">
        <v>418</v>
      </c>
      <c r="G39" s="18">
        <v>73.75</v>
      </c>
      <c r="H39" s="19">
        <v>0.7808578280997267</v>
      </c>
      <c r="I39" s="18">
        <v>9.1999999999999993</v>
      </c>
      <c r="J39" s="18">
        <v>260</v>
      </c>
      <c r="K39" s="20">
        <v>26</v>
      </c>
      <c r="L39" s="33">
        <f t="shared" si="1"/>
        <v>0.54712041884816753</v>
      </c>
      <c r="M39" s="34">
        <f t="shared" si="1"/>
        <v>0.81043956043956045</v>
      </c>
      <c r="N39" s="34">
        <f t="shared" si="1"/>
        <v>0.78934541318776719</v>
      </c>
      <c r="O39" s="34">
        <f t="shared" si="2"/>
        <v>0.51086956521739135</v>
      </c>
      <c r="P39" s="34">
        <f t="shared" si="3"/>
        <v>0.30409356725146197</v>
      </c>
      <c r="Q39" s="34">
        <f t="shared" si="4"/>
        <v>0.69230769230769229</v>
      </c>
      <c r="R39" s="33">
        <f t="shared" si="5"/>
        <v>0.59773674863144022</v>
      </c>
      <c r="S39" s="35">
        <f t="shared" si="6"/>
        <v>7.1714129709079502E-7</v>
      </c>
      <c r="T39" s="36">
        <f t="shared" si="7"/>
        <v>0.29886873288636867</v>
      </c>
    </row>
    <row r="40" spans="2:20" x14ac:dyDescent="0.2">
      <c r="B40" s="25">
        <v>36</v>
      </c>
      <c r="C40" s="26" t="s">
        <v>37</v>
      </c>
      <c r="D40" s="26" t="s">
        <v>71</v>
      </c>
      <c r="E40" s="26" t="s">
        <v>21</v>
      </c>
      <c r="F40" s="26">
        <v>440</v>
      </c>
      <c r="G40" s="26">
        <v>77.25</v>
      </c>
      <c r="H40" s="27">
        <v>0.70629782224838145</v>
      </c>
      <c r="I40" s="26">
        <v>8.6</v>
      </c>
      <c r="J40" s="26">
        <v>280</v>
      </c>
      <c r="K40" s="28">
        <v>40</v>
      </c>
      <c r="L40" s="29">
        <f t="shared" si="1"/>
        <v>0.5759162303664922</v>
      </c>
      <c r="M40" s="30">
        <f t="shared" si="1"/>
        <v>0.84890109890109888</v>
      </c>
      <c r="N40" s="30">
        <f t="shared" si="1"/>
        <v>0.71397497249021169</v>
      </c>
      <c r="O40" s="30">
        <f t="shared" si="2"/>
        <v>0.54651162790697683</v>
      </c>
      <c r="P40" s="30">
        <f t="shared" si="3"/>
        <v>0.32748538011695905</v>
      </c>
      <c r="Q40" s="30">
        <f t="shared" si="4"/>
        <v>0.45</v>
      </c>
      <c r="R40" s="29">
        <f t="shared" si="5"/>
        <v>0.57189367012206238</v>
      </c>
      <c r="S40" s="31">
        <f t="shared" si="6"/>
        <v>5.3557575090767471E-7</v>
      </c>
      <c r="T40" s="32">
        <f t="shared" si="7"/>
        <v>0.28594710284890662</v>
      </c>
    </row>
    <row r="41" spans="2:20" x14ac:dyDescent="0.2">
      <c r="B41" s="17">
        <v>37</v>
      </c>
      <c r="C41" s="18" t="s">
        <v>72</v>
      </c>
      <c r="D41" s="18" t="s">
        <v>73</v>
      </c>
      <c r="E41" s="18" t="s">
        <v>21</v>
      </c>
      <c r="F41" s="18">
        <v>544</v>
      </c>
      <c r="G41" s="18">
        <v>82</v>
      </c>
      <c r="H41" s="19">
        <v>0.71906143559984859</v>
      </c>
      <c r="I41" s="18">
        <v>5.4</v>
      </c>
      <c r="J41" s="18">
        <v>460</v>
      </c>
      <c r="K41" s="20">
        <v>28</v>
      </c>
      <c r="L41" s="33">
        <f t="shared" si="1"/>
        <v>0.7120418848167539</v>
      </c>
      <c r="M41" s="34">
        <f t="shared" si="1"/>
        <v>0.90109890109890112</v>
      </c>
      <c r="N41" s="34">
        <f t="shared" si="1"/>
        <v>0.72687732076941214</v>
      </c>
      <c r="O41" s="34">
        <f t="shared" si="2"/>
        <v>0.87037037037037035</v>
      </c>
      <c r="P41" s="34">
        <f t="shared" si="3"/>
        <v>0.53801169590643272</v>
      </c>
      <c r="Q41" s="34">
        <f t="shared" si="4"/>
        <v>0.6428571428571429</v>
      </c>
      <c r="R41" s="33">
        <f t="shared" si="5"/>
        <v>0.72103385153483601</v>
      </c>
      <c r="S41" s="35">
        <f t="shared" si="6"/>
        <v>2.6746507135063464E-6</v>
      </c>
      <c r="T41" s="36">
        <f t="shared" si="7"/>
        <v>0.36051826309277474</v>
      </c>
    </row>
    <row r="42" spans="2:20" x14ac:dyDescent="0.2">
      <c r="B42" s="25">
        <v>38</v>
      </c>
      <c r="C42" s="26" t="s">
        <v>74</v>
      </c>
      <c r="D42" s="26" t="s">
        <v>75</v>
      </c>
      <c r="E42" s="26" t="s">
        <v>21</v>
      </c>
      <c r="F42" s="26">
        <v>520</v>
      </c>
      <c r="G42" s="26">
        <v>72</v>
      </c>
      <c r="H42" s="27">
        <v>0.69946808510638303</v>
      </c>
      <c r="I42" s="26">
        <v>7.9</v>
      </c>
      <c r="J42" s="26">
        <v>320</v>
      </c>
      <c r="K42" s="28">
        <v>30</v>
      </c>
      <c r="L42" s="29">
        <f t="shared" si="1"/>
        <v>0.68062827225130895</v>
      </c>
      <c r="M42" s="30">
        <f t="shared" si="1"/>
        <v>0.79120879120879117</v>
      </c>
      <c r="N42" s="30">
        <f t="shared" si="1"/>
        <v>0.70707099907493065</v>
      </c>
      <c r="O42" s="30">
        <f t="shared" si="2"/>
        <v>0.59493670886075944</v>
      </c>
      <c r="P42" s="30">
        <f t="shared" si="3"/>
        <v>0.3742690058479532</v>
      </c>
      <c r="Q42" s="30">
        <f t="shared" si="4"/>
        <v>0.6</v>
      </c>
      <c r="R42" s="29">
        <f t="shared" si="5"/>
        <v>0.6221335400525787</v>
      </c>
      <c r="S42" s="31">
        <f t="shared" si="6"/>
        <v>9.6914254817299413E-7</v>
      </c>
      <c r="T42" s="32">
        <f t="shared" si="7"/>
        <v>0.31106725459756346</v>
      </c>
    </row>
    <row r="43" spans="2:20" x14ac:dyDescent="0.2">
      <c r="B43" s="17">
        <v>39</v>
      </c>
      <c r="C43" s="18" t="s">
        <v>63</v>
      </c>
      <c r="D43" s="18" t="s">
        <v>76</v>
      </c>
      <c r="E43" s="18" t="s">
        <v>21</v>
      </c>
      <c r="F43" s="18">
        <v>428</v>
      </c>
      <c r="G43" s="18">
        <v>82.25</v>
      </c>
      <c r="H43" s="19">
        <v>0.75165363800360796</v>
      </c>
      <c r="I43" s="18">
        <v>8.6999999999999993</v>
      </c>
      <c r="J43" s="18">
        <v>605</v>
      </c>
      <c r="K43" s="20">
        <v>18</v>
      </c>
      <c r="L43" s="33">
        <f t="shared" si="1"/>
        <v>0.56020942408376961</v>
      </c>
      <c r="M43" s="34">
        <f t="shared" si="1"/>
        <v>0.90384615384615385</v>
      </c>
      <c r="N43" s="34">
        <f t="shared" si="1"/>
        <v>0.75982378624277758</v>
      </c>
      <c r="O43" s="34">
        <f t="shared" si="2"/>
        <v>0.54022988505747138</v>
      </c>
      <c r="P43" s="34">
        <f t="shared" si="3"/>
        <v>0.70760233918128657</v>
      </c>
      <c r="Q43" s="34">
        <f t="shared" si="4"/>
        <v>1</v>
      </c>
      <c r="R43" s="33">
        <f t="shared" si="5"/>
        <v>0.72740816994663537</v>
      </c>
      <c r="S43" s="35">
        <f t="shared" si="6"/>
        <v>2.8018400649444325E-6</v>
      </c>
      <c r="T43" s="36">
        <f t="shared" si="7"/>
        <v>0.36370548589335017</v>
      </c>
    </row>
    <row r="44" spans="2:20" ht="16" thickBot="1" x14ac:dyDescent="0.25">
      <c r="B44" s="37">
        <v>40</v>
      </c>
      <c r="C44" s="38" t="s">
        <v>35</v>
      </c>
      <c r="D44" s="38" t="s">
        <v>77</v>
      </c>
      <c r="E44" s="38" t="s">
        <v>34</v>
      </c>
      <c r="F44" s="38">
        <v>427</v>
      </c>
      <c r="G44" s="38">
        <v>85</v>
      </c>
      <c r="H44" s="39">
        <v>0.989247311827957</v>
      </c>
      <c r="I44" s="38">
        <v>7</v>
      </c>
      <c r="J44" s="38">
        <v>290</v>
      </c>
      <c r="K44" s="40">
        <v>38</v>
      </c>
      <c r="L44" s="41">
        <f t="shared" si="1"/>
        <v>0.55890052356020947</v>
      </c>
      <c r="M44" s="42">
        <f t="shared" si="1"/>
        <v>0.93406593406593408</v>
      </c>
      <c r="N44" s="42">
        <f t="shared" si="1"/>
        <v>1</v>
      </c>
      <c r="O44" s="42">
        <f t="shared" si="2"/>
        <v>0.67142857142857149</v>
      </c>
      <c r="P44" s="42">
        <f t="shared" si="3"/>
        <v>0.33918128654970758</v>
      </c>
      <c r="Q44" s="42">
        <f t="shared" si="4"/>
        <v>0.47368421052631576</v>
      </c>
      <c r="R44" s="41">
        <f t="shared" si="5"/>
        <v>0.65403472327556089</v>
      </c>
      <c r="S44" s="43">
        <f t="shared" si="6"/>
        <v>1.0728779647290983E-6</v>
      </c>
      <c r="T44" s="44">
        <f t="shared" si="7"/>
        <v>0.32701789807676279</v>
      </c>
    </row>
    <row r="48" spans="2:20" x14ac:dyDescent="0.2">
      <c r="I48" s="19">
        <v>5.519125683060111E-2</v>
      </c>
      <c r="J48" s="45">
        <f>1-I48</f>
        <v>0.94480874316939889</v>
      </c>
    </row>
    <row r="49" spans="9:15" x14ac:dyDescent="0.2">
      <c r="I49" s="27">
        <v>0.23</v>
      </c>
      <c r="J49" s="45">
        <f t="shared" ref="J49:J87" si="8">1-I49</f>
        <v>0.77</v>
      </c>
    </row>
    <row r="50" spans="9:15" x14ac:dyDescent="0.2">
      <c r="I50" s="19">
        <v>5.2356020942408432E-2</v>
      </c>
      <c r="J50" s="45">
        <f t="shared" si="8"/>
        <v>0.94764397905759157</v>
      </c>
    </row>
    <row r="51" spans="9:15" x14ac:dyDescent="0.2">
      <c r="I51" s="27">
        <v>0.22859986728599868</v>
      </c>
      <c r="J51" s="45">
        <f t="shared" si="8"/>
        <v>0.77140013271400132</v>
      </c>
    </row>
    <row r="52" spans="9:15" x14ac:dyDescent="0.2">
      <c r="I52" s="19">
        <v>0.36670172209806762</v>
      </c>
      <c r="J52" s="45">
        <f t="shared" si="8"/>
        <v>0.63329827790193238</v>
      </c>
      <c r="M52" s="46" t="s">
        <v>78</v>
      </c>
      <c r="N52" s="46" t="s">
        <v>79</v>
      </c>
      <c r="O52" s="46" t="s">
        <v>80</v>
      </c>
    </row>
    <row r="53" spans="9:15" x14ac:dyDescent="0.2">
      <c r="I53" s="27">
        <v>0.13865194848636897</v>
      </c>
      <c r="J53" s="45">
        <f t="shared" si="8"/>
        <v>0.86134805151363103</v>
      </c>
      <c r="M53" s="46" t="s">
        <v>3</v>
      </c>
      <c r="N53" s="46">
        <v>5</v>
      </c>
      <c r="O53" s="46" t="s">
        <v>81</v>
      </c>
    </row>
    <row r="54" spans="9:15" x14ac:dyDescent="0.2">
      <c r="I54" s="19">
        <v>0.28951228456178946</v>
      </c>
      <c r="J54" s="45">
        <f t="shared" si="8"/>
        <v>0.71048771543821054</v>
      </c>
      <c r="M54" s="46" t="s">
        <v>4</v>
      </c>
      <c r="N54" s="46">
        <v>3</v>
      </c>
      <c r="O54" s="46" t="s">
        <v>82</v>
      </c>
    </row>
    <row r="55" spans="9:15" x14ac:dyDescent="0.2">
      <c r="I55" s="27">
        <v>0.3</v>
      </c>
      <c r="J55" s="45">
        <f t="shared" si="8"/>
        <v>0.7</v>
      </c>
      <c r="M55" s="46" t="s">
        <v>5</v>
      </c>
      <c r="N55" s="46">
        <v>4</v>
      </c>
      <c r="O55" s="46" t="s">
        <v>83</v>
      </c>
    </row>
    <row r="56" spans="9:15" x14ac:dyDescent="0.2">
      <c r="I56" s="19">
        <v>0.31109499637418414</v>
      </c>
      <c r="J56" s="45">
        <f t="shared" si="8"/>
        <v>0.68890500362581586</v>
      </c>
      <c r="M56" s="46" t="s">
        <v>84</v>
      </c>
      <c r="N56" s="46">
        <v>3</v>
      </c>
      <c r="O56" s="46" t="s">
        <v>82</v>
      </c>
    </row>
    <row r="57" spans="9:15" x14ac:dyDescent="0.2">
      <c r="I57" s="27">
        <v>9.6841555729574536E-2</v>
      </c>
      <c r="J57" s="45">
        <f t="shared" si="8"/>
        <v>0.90315844427042546</v>
      </c>
      <c r="M57" s="46" t="s">
        <v>85</v>
      </c>
      <c r="N57" s="46">
        <v>4</v>
      </c>
      <c r="O57" s="46" t="s">
        <v>83</v>
      </c>
    </row>
    <row r="58" spans="9:15" x14ac:dyDescent="0.2">
      <c r="I58" s="19">
        <v>0.16276651066042647</v>
      </c>
      <c r="J58" s="45">
        <f t="shared" si="8"/>
        <v>0.83723348933957353</v>
      </c>
      <c r="M58" s="46" t="s">
        <v>86</v>
      </c>
      <c r="N58" s="46">
        <v>3</v>
      </c>
      <c r="O58" s="46" t="s">
        <v>82</v>
      </c>
    </row>
    <row r="59" spans="9:15" x14ac:dyDescent="0.2">
      <c r="I59" s="27">
        <v>9.4488188976378007E-2</v>
      </c>
      <c r="J59" s="45">
        <f t="shared" si="8"/>
        <v>0.90551181102362199</v>
      </c>
    </row>
    <row r="60" spans="9:15" x14ac:dyDescent="0.2">
      <c r="I60" s="19">
        <v>0.35</v>
      </c>
      <c r="J60" s="45">
        <f t="shared" si="8"/>
        <v>0.65</v>
      </c>
    </row>
    <row r="61" spans="9:15" x14ac:dyDescent="0.2">
      <c r="I61" s="27">
        <v>0.34488437030142483</v>
      </c>
      <c r="J61" s="45">
        <f t="shared" si="8"/>
        <v>0.65511562969857517</v>
      </c>
    </row>
    <row r="62" spans="9:15" x14ac:dyDescent="0.2">
      <c r="I62" s="19">
        <v>0.21038685744568097</v>
      </c>
      <c r="J62" s="45">
        <f t="shared" si="8"/>
        <v>0.78961314255431903</v>
      </c>
    </row>
    <row r="63" spans="9:15" x14ac:dyDescent="0.2">
      <c r="I63" s="27">
        <v>8.1151832460732987E-2</v>
      </c>
      <c r="J63" s="45">
        <f t="shared" si="8"/>
        <v>0.91884816753926701</v>
      </c>
    </row>
    <row r="64" spans="9:15" x14ac:dyDescent="0.2">
      <c r="I64" s="19">
        <v>0.19478527607361962</v>
      </c>
      <c r="J64" s="45">
        <f t="shared" si="8"/>
        <v>0.80521472392638038</v>
      </c>
    </row>
    <row r="65" spans="9:10" x14ac:dyDescent="0.2">
      <c r="I65" s="27">
        <v>0.13255393844370977</v>
      </c>
      <c r="J65" s="45">
        <f t="shared" si="8"/>
        <v>0.86744606155629023</v>
      </c>
    </row>
    <row r="66" spans="9:10" x14ac:dyDescent="0.2">
      <c r="I66" s="19">
        <v>0.11367161533348102</v>
      </c>
      <c r="J66" s="45">
        <f t="shared" si="8"/>
        <v>0.88632838466651898</v>
      </c>
    </row>
    <row r="67" spans="9:10" x14ac:dyDescent="0.2">
      <c r="I67" s="27">
        <v>0.21064799524407163</v>
      </c>
      <c r="J67" s="45">
        <f t="shared" si="8"/>
        <v>0.78935200475592837</v>
      </c>
    </row>
    <row r="68" spans="9:10" x14ac:dyDescent="0.2">
      <c r="I68" s="19">
        <v>0.24684441758292852</v>
      </c>
      <c r="J68" s="45">
        <f t="shared" si="8"/>
        <v>0.75315558241707148</v>
      </c>
    </row>
    <row r="69" spans="9:10" x14ac:dyDescent="0.2">
      <c r="I69" s="27">
        <v>0.2</v>
      </c>
      <c r="J69" s="45">
        <f t="shared" si="8"/>
        <v>0.8</v>
      </c>
    </row>
    <row r="70" spans="9:10" x14ac:dyDescent="0.2">
      <c r="I70" s="19">
        <v>7.7433890667615302E-2</v>
      </c>
      <c r="J70" s="45">
        <f t="shared" si="8"/>
        <v>0.9225661093323847</v>
      </c>
    </row>
    <row r="71" spans="9:10" x14ac:dyDescent="0.2">
      <c r="I71" s="27">
        <v>0.32</v>
      </c>
      <c r="J71" s="45">
        <f t="shared" si="8"/>
        <v>0.67999999999999994</v>
      </c>
    </row>
    <row r="72" spans="9:10" x14ac:dyDescent="0.2">
      <c r="I72" s="19">
        <v>0.19957452466427339</v>
      </c>
      <c r="J72" s="45">
        <f t="shared" si="8"/>
        <v>0.80042547533572661</v>
      </c>
    </row>
    <row r="73" spans="9:10" x14ac:dyDescent="0.2">
      <c r="I73" s="27">
        <v>0.14236706689536882</v>
      </c>
      <c r="J73" s="45">
        <f t="shared" si="8"/>
        <v>0.85763293310463118</v>
      </c>
    </row>
    <row r="74" spans="9:10" x14ac:dyDescent="0.2">
      <c r="I74" s="19">
        <v>0.12</v>
      </c>
      <c r="J74" s="45">
        <f t="shared" si="8"/>
        <v>0.88</v>
      </c>
    </row>
    <row r="75" spans="9:10" x14ac:dyDescent="0.2">
      <c r="I75" s="27">
        <v>9.6045197740112997E-2</v>
      </c>
      <c r="J75" s="45">
        <f t="shared" si="8"/>
        <v>0.903954802259887</v>
      </c>
    </row>
    <row r="76" spans="9:10" x14ac:dyDescent="0.2">
      <c r="I76" s="19">
        <v>0.23469387755102045</v>
      </c>
      <c r="J76" s="45">
        <f t="shared" si="8"/>
        <v>0.76530612244897955</v>
      </c>
    </row>
    <row r="77" spans="9:10" x14ac:dyDescent="0.2">
      <c r="I77" s="27">
        <v>0.19856630824372756</v>
      </c>
      <c r="J77" s="45">
        <f t="shared" si="8"/>
        <v>0.80143369175627244</v>
      </c>
    </row>
    <row r="78" spans="9:10" x14ac:dyDescent="0.2">
      <c r="I78" s="19">
        <v>0.24568965517241381</v>
      </c>
      <c r="J78" s="45">
        <f t="shared" si="8"/>
        <v>0.75431034482758619</v>
      </c>
    </row>
    <row r="79" spans="9:10" x14ac:dyDescent="0.2">
      <c r="I79" s="27">
        <v>0.21919298017307887</v>
      </c>
      <c r="J79" s="45">
        <f t="shared" si="8"/>
        <v>0.78080701982692113</v>
      </c>
    </row>
    <row r="80" spans="9:10" x14ac:dyDescent="0.2">
      <c r="I80" s="19">
        <v>0.34</v>
      </c>
      <c r="J80" s="45">
        <f t="shared" si="8"/>
        <v>0.65999999999999992</v>
      </c>
    </row>
    <row r="81" spans="9:10" x14ac:dyDescent="0.2">
      <c r="I81" s="27">
        <v>0.13886997957794422</v>
      </c>
      <c r="J81" s="45">
        <f t="shared" si="8"/>
        <v>0.86113002042205578</v>
      </c>
    </row>
    <row r="82" spans="9:10" x14ac:dyDescent="0.2">
      <c r="I82" s="19">
        <v>0.2191421719002733</v>
      </c>
      <c r="J82" s="45">
        <f t="shared" si="8"/>
        <v>0.7808578280997267</v>
      </c>
    </row>
    <row r="83" spans="9:10" x14ac:dyDescent="0.2">
      <c r="I83" s="27">
        <v>0.29370217775161855</v>
      </c>
      <c r="J83" s="45">
        <f t="shared" si="8"/>
        <v>0.70629782224838145</v>
      </c>
    </row>
    <row r="84" spans="9:10" x14ac:dyDescent="0.2">
      <c r="I84" s="19">
        <v>0.28093856440015141</v>
      </c>
      <c r="J84" s="45">
        <f t="shared" si="8"/>
        <v>0.71906143559984859</v>
      </c>
    </row>
    <row r="85" spans="9:10" x14ac:dyDescent="0.2">
      <c r="I85" s="27">
        <v>0.30053191489361697</v>
      </c>
      <c r="J85" s="45">
        <f t="shared" si="8"/>
        <v>0.69946808510638303</v>
      </c>
    </row>
    <row r="86" spans="9:10" x14ac:dyDescent="0.2">
      <c r="I86" s="19">
        <v>0.24834636199639204</v>
      </c>
      <c r="J86" s="45">
        <f t="shared" si="8"/>
        <v>0.75165363800360796</v>
      </c>
    </row>
    <row r="87" spans="9:10" ht="16" thickBot="1" x14ac:dyDescent="0.25">
      <c r="I87" s="39">
        <v>1.0752688172043001E-2</v>
      </c>
      <c r="J87" s="45">
        <f t="shared" si="8"/>
        <v>0.989247311827957</v>
      </c>
    </row>
  </sheetData>
  <autoFilter ref="B3:T44" xr:uid="{5BE1246A-79DE-D74A-8B83-4AF0CB4B73BD}"/>
  <mergeCells count="4">
    <mergeCell ref="L2:Q2"/>
    <mergeCell ref="R2:T2"/>
    <mergeCell ref="B4:C4"/>
    <mergeCell ref="R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waspas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İlknur Canbaz</dc:creator>
  <cp:lastModifiedBy>İlknur Canbaz</cp:lastModifiedBy>
  <dcterms:created xsi:type="dcterms:W3CDTF">2025-05-02T07:06:02Z</dcterms:created>
  <dcterms:modified xsi:type="dcterms:W3CDTF">2025-05-02T08:40:20Z</dcterms:modified>
</cp:coreProperties>
</file>